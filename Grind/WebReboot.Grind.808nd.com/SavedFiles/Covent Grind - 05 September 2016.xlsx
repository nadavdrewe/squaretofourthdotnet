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bookViews>
    <workbookView xWindow="0" yWindow="0" windowWidth="28800" windowHeight="13935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definedNames/>
  <calcPr fullCalcOnLoad="1"/>
</workbook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<sst xmlns="http://schemas.openxmlformats.org/spreadsheetml/2006/main" count="468" uniqueCount="73">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</sst>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7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b/>
      <sz val="11"/>
      <color indexed="8"/>
      <name val="Calibri"/>
      <family val="2"/>
    </font>
  </fonts>
  <fills count="6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000000"/>
      </right>
      <top/>
      <bottom/>
    </border>
    <border>
      <left style="thin">
        <color rgb="FF000000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/>
      <right style="thin"/>
      <top style="thin"/>
      <bottom style="thin">
        <color rgb="FFAAAAAA"/>
      </bottom>
    </border>
    <border>
      <left style="thin"/>
      <right style="thin"/>
      <top style="thin">
        <color rgb="FFAAAAAA"/>
      </top>
      <bottom style="thin">
        <color rgb="FFAAAAAA"/>
      </bottom>
    </border>
    <border>
      <left style="thin"/>
      <right style="thin"/>
      <top style="thin">
        <color rgb="FFAAAAAA"/>
      </top>
      <bottom style="thin"/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>
      <alignment/>
    </xf>
    <xf numFmtId="0" fontId="2" fillId="0" borderId="1" xfId="0" applyNumberFormat="1" applyFont="1" applyBorder="1" applyAlignment="1">
      <alignment/>
    </xf>
    <xf numFmtId="14" fontId="1" fillId="0" borderId="1" xfId="0" applyNumberFormat="1" applyFont="1" applyBorder="1" applyAlignment="1">
      <alignment/>
    </xf>
    <xf numFmtId="14" fontId="2" fillId="0" borderId="1" xfId="0" applyNumberFormat="1" applyFont="1" applyBorder="1" applyAlignment="1">
      <alignment/>
    </xf>
    <xf numFmtId="0" fontId="2" fillId="0" borderId="2" xfId="0" applyNumberFormat="1" applyFont="1" applyBorder="1" applyAlignment="1">
      <alignment/>
    </xf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>
      <alignment/>
    </xf>
    <xf numFmtId="1" fontId="2" fillId="2" borderId="5" xfId="0" applyNumberFormat="1" applyFont="1" applyFill="1" applyBorder="1" applyAlignment="1">
      <alignment/>
    </xf>
    <xf numFmtId="1" fontId="2" fillId="2" borderId="6" xfId="0" applyNumberFormat="1" applyFont="1" applyFill="1" applyBorder="1" applyAlignment="1">
      <alignment/>
    </xf>
    <xf numFmtId="0" fontId="2" fillId="0" borderId="7" xfId="0" applyNumberFormat="1" applyFont="1" applyBorder="1" applyAlignment="1">
      <alignment/>
    </xf>
    <xf numFmtId="1" fontId="2" fillId="2" borderId="8" xfId="0" applyNumberFormat="1" applyFont="1" applyFill="1" applyBorder="1" applyAlignment="1">
      <alignment/>
    </xf>
    <xf numFmtId="1" fontId="2" fillId="2" borderId="9" xfId="0" applyNumberFormat="1" applyFont="1" applyFill="1" applyBorder="1" applyAlignment="1">
      <alignment/>
    </xf>
    <xf numFmtId="1" fontId="2" fillId="2" borderId="10" xfId="0" applyNumberFormat="1" applyFont="1" applyFill="1" applyBorder="1" applyAlignment="1">
      <alignment/>
    </xf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>
      <alignment/>
    </xf>
    <xf numFmtId="1" fontId="2" fillId="2" borderId="12" xfId="0" applyNumberFormat="1" applyFont="1" applyFill="1" applyBorder="1" applyAlignment="1">
      <alignment/>
    </xf>
    <xf numFmtId="1" fontId="2" fillId="2" borderId="13" xfId="0" applyNumberFormat="1" applyFont="1" applyFill="1" applyBorder="1" applyAlignment="1">
      <alignment/>
    </xf>
    <xf numFmtId="0" fontId="2" fillId="0" borderId="3" xfId="0" applyNumberFormat="1" applyFont="1" applyBorder="1" applyAlignment="1">
      <alignment/>
    </xf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>
      <alignment/>
    </xf>
    <xf numFmtId="0" fontId="2" fillId="0" borderId="17" xfId="0" applyNumberFormat="1" applyFont="1" applyBorder="1" applyAlignment="1">
      <alignment/>
    </xf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>
      <alignment/>
    </xf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>
      <alignment/>
    </xf>
    <xf numFmtId="1" fontId="2" fillId="2" borderId="22" xfId="0" applyNumberFormat="1" applyFont="1" applyFill="1" applyBorder="1" applyAlignment="1">
      <alignment/>
    </xf>
    <xf numFmtId="1" fontId="2" fillId="2" borderId="23" xfId="0" applyNumberFormat="1" applyFont="1" applyFill="1" applyBorder="1" applyAlignment="1">
      <alignment/>
    </xf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>
      <alignment/>
    </xf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>
      <alignment/>
    </xf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>
      <alignment/>
    </xf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/>
    </xf>
    <xf numFmtId="14" fontId="1" fillId="0" borderId="43" xfId="0" applyNumberFormat="1" applyFont="1" applyBorder="1" applyAlignment="1">
      <alignment horizontal="center"/>
    </xf>
    <xf numFmtId="1" fontId="2" fillId="2" borderId="44" xfId="0" applyNumberFormat="1" applyFont="1" applyFill="1" applyBorder="1" applyAlignment="1">
      <alignment horizontal="center"/>
    </xf>
    <xf numFmtId="0" fontId="2" fillId="0" borderId="45" xfId="0" applyNumberFormat="1" applyFont="1" applyBorder="1" applyAlignment="1">
      <alignment/>
    </xf>
    <xf numFmtId="0" fontId="2" fillId="0" borderId="46" xfId="0" applyNumberFormat="1" applyFont="1" applyBorder="1" applyAlignment="1">
      <alignment/>
    </xf>
    <xf numFmtId="1" fontId="2" fillId="2" borderId="47" xfId="0" applyNumberFormat="1" applyFont="1" applyFill="1" applyBorder="1" applyAlignment="1">
      <alignment horizontal="center"/>
    </xf>
    <xf numFmtId="1" fontId="2" fillId="2" borderId="48" xfId="0" applyNumberFormat="1" applyFont="1" applyFill="1" applyBorder="1" applyAlignment="1">
      <alignment horizontal="center"/>
    </xf>
    <xf numFmtId="1" fontId="2" fillId="2" borderId="49" xfId="0" applyNumberFormat="1" applyFont="1" applyFill="1" applyBorder="1" applyAlignment="1">
      <alignment horizontal="center"/>
    </xf>
    <xf numFmtId="0" fontId="1" fillId="0" borderId="50" xfId="0" applyNumberFormat="1" applyFont="1" applyBorder="1" applyAlignment="1">
      <alignment/>
    </xf>
    <xf numFmtId="0" fontId="2" fillId="0" borderId="26" xfId="0" applyNumberFormat="1" applyFont="1" applyBorder="1" applyAlignment="1">
      <alignment/>
    </xf>
    <xf numFmtId="0" fontId="2" fillId="4" borderId="51" xfId="0" applyNumberFormat="1" applyFont="1" applyFill="1" applyBorder="1" applyAlignment="1" applyProtection="1">
      <alignment/>
      <protection locked="0"/>
    </xf>
    <xf numFmtId="0" fontId="2" fillId="4" borderId="52" xfId="0" applyNumberFormat="1" applyFont="1" applyFill="1" applyBorder="1" applyAlignment="1" applyProtection="1">
      <alignment/>
      <protection locked="0"/>
    </xf>
    <xf numFmtId="0" fontId="2" fillId="4" borderId="53" xfId="0" applyNumberFormat="1" applyFont="1" applyFill="1" applyBorder="1" applyAlignment="1" applyProtection="1">
      <alignment/>
      <protection locked="0"/>
    </xf>
    <xf numFmtId="0" fontId="0" fillId="4" borderId="54" xfId="0" applyNumberFormat="1" applyFill="1" applyBorder="1" applyAlignment="1">
      <alignment horizontal="left" wrapText="1"/>
    </xf>
    <xf numFmtId="0" fontId="0" fillId="4" borderId="55" xfId="0" applyNumberFormat="1" applyFill="1" applyBorder="1" applyAlignment="1">
      <alignment horizontal="left" wrapText="1"/>
    </xf>
    <xf numFmtId="0" fontId="0" fillId="4" borderId="56" xfId="0" applyNumberFormat="1" applyFill="1" applyBorder="1" applyAlignment="1">
      <alignment horizontal="left" wrapText="1"/>
    </xf>
    <xf numFmtId="0" fontId="0" fillId="4" borderId="57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58" xfId="0" applyNumberFormat="1" applyFill="1" applyBorder="1" applyAlignment="1">
      <alignment horizontal="left" wrapText="1"/>
    </xf>
    <xf numFmtId="0" fontId="0" fillId="4" borderId="59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60" xfId="0" applyNumberFormat="1" applyFill="1" applyBorder="1" applyAlignment="1">
      <alignment horizontal="left" wrapText="1"/>
    </xf>
    <xf numFmtId="1" fontId="2" fillId="5" borderId="61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62" xfId="0" applyNumberFormat="1" applyFont="1" applyFill="1" applyBorder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86"/>
  <sheetViews>
    <sheetView showGridLines="0" workbookViewId="0" topLeftCell="A1"/>
  </sheetViews>
  <sheetFormatPr defaultColWidth="9.140625" defaultRowHeight="12.75"/>
  <cols>
    <col min="1" max="1" width="28.7142857142857" customWidth="1"/>
    <col min="2" max="2" width="20.8571428571429" customWidth="1"/>
    <col min="3" max="18" width="11.4285714285714" customWidth="1"/>
    <col min="19" max="19" width="9.42857142857143" customWidth="1"/>
  </cols>
  <sheetData>
    <row r="1" ht="15" customHeight="1"/>
    <row r="2" spans="1:19" ht="17.1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" customHeight="1">
      <c r="A4" s="2"/>
      <c r="B4" s="3">
        <v>41897</v>
      </c>
      <c r="C4" s="3">
        <f t="shared" si="0" ref="C4:Q4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" customHeight="1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" customHeight="1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" customHeight="1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" customHeight="1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" customHeight="1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" customHeight="1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" customHeight="1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" customHeight="1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" customHeight="1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" customHeight="1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" customHeight="1">
      <c r="A15" s="18" t="s">
        <v>2</v>
      </c>
      <c r="B15" s="19">
        <f t="shared" si="1" ref="B15:Q15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" customHeight="1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" customHeight="1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" customHeight="1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" customHeight="1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" customHeight="1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" customHeight="1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" customHeight="1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" customHeight="1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" customHeight="1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" customHeight="1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" customHeight="1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" customHeight="1">
      <c r="A27" s="18" t="s">
        <v>2</v>
      </c>
      <c r="B27" s="19">
        <f t="shared" si="2" ref="B27:Q27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" customHeight="1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" customHeight="1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" customHeight="1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" customHeight="1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" customHeight="1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" customHeight="1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" customHeight="1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" customHeight="1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" customHeight="1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" customHeight="1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" customHeight="1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" customHeight="1">
      <c r="A39" s="18" t="s">
        <v>2</v>
      </c>
      <c r="B39" s="19">
        <f t="shared" si="3" ref="B39:Q39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" customHeight="1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" customHeight="1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" customHeight="1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" customHeight="1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" customHeight="1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" customHeight="1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" customHeight="1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" customHeight="1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" customHeight="1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" customHeight="1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" customHeight="1">
      <c r="A50" s="18" t="s">
        <v>2</v>
      </c>
      <c r="B50" s="19">
        <f t="shared" si="4" ref="B50:Q50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" customHeight="1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" customHeight="1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" customHeight="1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" customHeight="1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" customHeight="1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" customHeight="1">
      <c r="A56" s="18" t="s">
        <v>2</v>
      </c>
      <c r="B56" s="19">
        <f t="shared" si="5" ref="B56:Q56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" customHeight="1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" customHeight="1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" customHeight="1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" customHeight="1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" customHeight="1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" customHeight="1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" customHeight="1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" customHeight="1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" customHeight="1">
      <c r="A65" s="18" t="s">
        <v>2</v>
      </c>
      <c r="B65" s="19">
        <f t="shared" si="6" ref="B65:Q65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" customHeight="1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" customHeight="1">
      <c r="A67" s="18" t="s">
        <v>25</v>
      </c>
      <c r="B67" s="27">
        <f t="shared" si="7" ref="B67:Q6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" customHeight="1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" customHeight="1">
      <c r="A69" s="18" t="s">
        <v>27</v>
      </c>
      <c r="B69" s="33">
        <f t="shared" si="8" ref="B69:Q69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" customHeight="1">
      <c r="A70" s="18" t="s">
        <v>28</v>
      </c>
      <c r="B70" s="36">
        <f t="shared" si="9" ref="B70:Q70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" customHeight="1">
      <c r="A71" s="18" t="s">
        <v>29</v>
      </c>
      <c r="B71" s="19">
        <f t="shared" si="10" ref="B71:Q71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" customHeight="1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" customHeight="1">
      <c r="A73" s="18" t="s">
        <v>30</v>
      </c>
      <c r="B73" s="39">
        <f t="shared" si="11" ref="B73:Q73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" customHeight="1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" customHeight="1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" customHeight="1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" customHeight="1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" customHeight="1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" customHeight="1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" customHeight="1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" customHeight="1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" customHeight="1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" customHeight="1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horizontalDpi="600" verticalDpi="600"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tabSelected="1" workbookViewId="0" topLeftCell="A22">
      <selection pane="topLeft" activeCell="E15" sqref="E15"/>
    </sheetView>
  </sheetViews>
  <sheetFormatPr defaultColWidth="9.140625" defaultRowHeight="12.75"/>
  <cols>
    <col min="1" max="1" width="28.7142857142857" customWidth="1"/>
    <col min="2" max="2" width="30.7142857142857" customWidth="1"/>
  </cols>
  <sheetData>
    <row r="1" ht="15" customHeight="1"/>
    <row r="2" ht="15" customHeight="1">
      <c r="A2" s="2"/>
    </row>
    <row r="3" spans="1:13" ht="15" customHeight="1">
      <c r="A3" s="1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2" ht="15" customHeight="1">
      <c r="A7" s="1" t="s">
        <v>66</v>
      </c>
      <c r="B7" s="65" t="s">
        <v>40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MONDAY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MONDAY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MONDAY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MONDAY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MONDAY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86">
        <f>B75-SUM(B68:B73)</f>
        <v>0</v>
      </c>
    </row>
    <row r="75" spans="1:2" ht="15" customHeight="1">
      <c r="A75" s="18" t="s">
        <v>2</v>
      </c>
      <c r="B75" s="87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MONDAY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82">
      <selection pane="topLeft" activeCell="B75" sqref="B75"/>
    </sheetView>
  </sheetViews>
  <sheetFormatPr defaultColWidth="9.140625" defaultRowHeight="12.7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2" ht="15" customHeight="1">
      <c r="A7" s="1" t="s">
        <v>66</v>
      </c>
      <c r="B7" s="65" t="s">
        <v>60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TUESDAY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TUESDAY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TUESDAY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TUESDAY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TUESDAY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86">
        <f>B75-SUM(B68:B73)</f>
        <v>0</v>
      </c>
    </row>
    <row r="75" spans="1:2" ht="15" customHeight="1">
      <c r="A75" s="18" t="s">
        <v>2</v>
      </c>
      <c r="B75" s="87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TUESDAY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64">
      <selection pane="topLeft" activeCell="D62" sqref="D62"/>
    </sheetView>
  </sheetViews>
  <sheetFormatPr defaultColWidth="9.140625" defaultRowHeight="12.7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2" ht="15" customHeight="1">
      <c r="A7" s="1" t="s">
        <v>66</v>
      </c>
      <c r="B7" s="65" t="s">
        <v>61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WEDNESDAY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WEDNESDAY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WEDNESDAY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WEDNESDAY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WEDNESDAY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86">
        <f>B75-SUM(B68:B73)</f>
        <v>0</v>
      </c>
    </row>
    <row r="75" spans="1:2" ht="15" customHeight="1">
      <c r="A75" s="18" t="s">
        <v>2</v>
      </c>
      <c r="B75" s="87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WEDNESDAY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46">
      <selection pane="topLeft" activeCell="B75" sqref="B75"/>
    </sheetView>
  </sheetViews>
  <sheetFormatPr defaultColWidth="9.140625" defaultRowHeight="12.7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2" ht="15" customHeight="1">
      <c r="A7" s="1" t="s">
        <v>66</v>
      </c>
      <c r="B7" s="65" t="s">
        <v>62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THURSDAY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THURSDAY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THURSDAY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THURSDAY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THURSDAY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86">
        <f>B75-SUM(B68:B73)</f>
        <v>0</v>
      </c>
    </row>
    <row r="75" spans="1:2" ht="15" customHeight="1">
      <c r="A75" s="18" t="s">
        <v>2</v>
      </c>
      <c r="B75" s="87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THURSDAY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46">
      <selection pane="topLeft" activeCell="B83" sqref="B83"/>
    </sheetView>
  </sheetViews>
  <sheetFormatPr defaultColWidth="9.140625" defaultRowHeight="12.7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2" ht="15" customHeight="1">
      <c r="A7" s="1" t="s">
        <v>66</v>
      </c>
      <c r="B7" s="65" t="s">
        <v>63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FRIDAY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FRIDAY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FRIDAY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FRIDAY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FRIDAY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86">
        <f>B75-SUM(B68:B73)</f>
        <v>0</v>
      </c>
    </row>
    <row r="75" spans="1:2" ht="15" customHeight="1">
      <c r="A75" s="18" t="s">
        <v>2</v>
      </c>
      <c r="B75" s="87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FRIDAY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1" sqref="B1"/>
    </sheetView>
  </sheetViews>
  <sheetFormatPr defaultColWidth="9.140625" defaultRowHeight="12.7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2" ht="15" customHeight="1">
      <c r="A7" s="1" t="s">
        <v>66</v>
      </c>
      <c r="B7" s="65" t="s">
        <v>64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SATURDAY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SATURDAY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1" t="s">
        <v>69</v>
      </c>
      <c r="B50" s="40" t="str">
        <f>B7</f>
        <v>SATURDAY</v>
      </c>
    </row>
    <row r="51" spans="1:2" ht="15" customHeight="1">
      <c r="A51" s="74" t="s">
        <v>6</v>
      </c>
      <c r="B51" s="41"/>
    </row>
    <row r="52" spans="1:2" ht="15" customHeight="1">
      <c r="A52" s="75" t="s">
        <v>7</v>
      </c>
      <c r="B52" s="42"/>
    </row>
    <row r="53" spans="1:2" ht="15" customHeight="1">
      <c r="A53" s="75" t="s">
        <v>8</v>
      </c>
      <c r="B53" s="42"/>
    </row>
    <row r="54" spans="1:2" ht="15" customHeight="1">
      <c r="A54" s="75" t="s">
        <v>9</v>
      </c>
      <c r="B54" s="42"/>
    </row>
    <row r="55" spans="1:2" ht="15" customHeight="1">
      <c r="A55" s="75" t="s">
        <v>10</v>
      </c>
      <c r="B55" s="42"/>
    </row>
    <row r="56" spans="1:2" ht="15" customHeight="1">
      <c r="A56" s="75" t="s">
        <v>11</v>
      </c>
      <c r="B56" s="42"/>
    </row>
    <row r="57" spans="1:2" ht="15" customHeight="1">
      <c r="A57" s="75" t="s">
        <v>12</v>
      </c>
      <c r="B57" s="42"/>
    </row>
    <row r="58" spans="1:2" ht="15" customHeight="1">
      <c r="A58" s="76" t="s">
        <v>13</v>
      </c>
      <c r="B58" s="43"/>
    </row>
    <row r="59" spans="1:2" ht="15" customHeight="1">
      <c r="A59" s="18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SATURDAY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SATURDAY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86">
        <f>B75-SUM(B68:B73)</f>
        <v>0</v>
      </c>
    </row>
    <row r="75" spans="1:2" ht="15" customHeight="1">
      <c r="A75" s="18" t="s">
        <v>2</v>
      </c>
      <c r="B75" s="87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SATURDAY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6"/>
  <sheetViews>
    <sheetView workbookViewId="0" topLeftCell="A1">
      <selection pane="topLeft" activeCell="B75" sqref="B75"/>
    </sheetView>
  </sheetViews>
  <sheetFormatPr defaultColWidth="9.140625" defaultRowHeight="12.75"/>
  <cols>
    <col min="1" max="1" width="43.8571428571429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77"/>
      <c r="C3" s="78"/>
      <c r="D3" s="78"/>
      <c r="E3" s="78"/>
      <c r="F3" s="78"/>
      <c r="G3" s="78"/>
      <c r="H3" s="78"/>
      <c r="I3" s="78"/>
      <c r="J3" s="78"/>
      <c r="K3" s="78"/>
      <c r="L3" s="78"/>
      <c r="M3" s="79"/>
    </row>
    <row r="4" spans="1:13" ht="15" customHeight="1">
      <c r="A4" s="2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5" customHeight="1">
      <c r="A5" s="2"/>
      <c r="B5" s="80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ht="15" customHeight="1">
      <c r="A6" s="2"/>
      <c r="B6" s="83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2" ht="15" customHeight="1">
      <c r="A7" s="1" t="s">
        <v>66</v>
      </c>
      <c r="B7" s="65" t="s">
        <v>65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500-B19</f>
        <v>500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SUNDAY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SUNDAY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" customHeight="1">
      <c r="A49" s="2"/>
      <c r="B49" s="22"/>
    </row>
    <row r="50" spans="1:2" ht="15" customHeight="1">
      <c r="A50" s="72" t="s">
        <v>69</v>
      </c>
      <c r="B50" s="40" t="str">
        <f>B7</f>
        <v>SUNDAY</v>
      </c>
    </row>
    <row r="51" spans="1:2" ht="15" customHeight="1">
      <c r="A51" s="74" t="s">
        <v>6</v>
      </c>
      <c r="B51" s="69"/>
    </row>
    <row r="52" spans="1:2" ht="15" customHeight="1">
      <c r="A52" s="75" t="s">
        <v>7</v>
      </c>
      <c r="B52" s="70"/>
    </row>
    <row r="53" spans="1:2" ht="15" customHeight="1">
      <c r="A53" s="75" t="s">
        <v>8</v>
      </c>
      <c r="B53" s="70"/>
    </row>
    <row r="54" spans="1:2" ht="15" customHeight="1">
      <c r="A54" s="75" t="s">
        <v>9</v>
      </c>
      <c r="B54" s="70"/>
    </row>
    <row r="55" spans="1:2" ht="15" customHeight="1">
      <c r="A55" s="75" t="s">
        <v>10</v>
      </c>
      <c r="B55" s="70"/>
    </row>
    <row r="56" spans="1:2" ht="15" customHeight="1">
      <c r="A56" s="75" t="s">
        <v>11</v>
      </c>
      <c r="B56" s="70"/>
    </row>
    <row r="57" spans="1:2" ht="15" customHeight="1">
      <c r="A57" s="75" t="s">
        <v>12</v>
      </c>
      <c r="B57" s="70"/>
    </row>
    <row r="58" spans="1:2" ht="15" customHeight="1">
      <c r="A58" s="76" t="s">
        <v>13</v>
      </c>
      <c r="B58" s="71"/>
    </row>
    <row r="59" spans="1:2" ht="15" customHeight="1">
      <c r="A59" s="73" t="s">
        <v>2</v>
      </c>
      <c r="B59" s="44">
        <f>SUM(B51:B58)</f>
        <v>0</v>
      </c>
    </row>
    <row r="60" spans="1:2" ht="15" customHeight="1">
      <c r="A60" s="2"/>
      <c r="B60" s="23"/>
    </row>
    <row r="61" spans="1:2" ht="15" customHeight="1">
      <c r="A61" s="1" t="s">
        <v>14</v>
      </c>
      <c r="B61" s="40" t="str">
        <f>B7</f>
        <v>SUNDAY</v>
      </c>
    </row>
    <row r="62" spans="1:2" ht="15" customHeight="1">
      <c r="A62" s="18" t="s">
        <v>42</v>
      </c>
      <c r="B62" s="46" t="s">
        <v>43</v>
      </c>
    </row>
    <row r="63" spans="1:2" ht="15" customHeight="1">
      <c r="A63" s="18" t="s">
        <v>44</v>
      </c>
      <c r="B63" s="42"/>
    </row>
    <row r="64" spans="1:2" ht="15" customHeight="1">
      <c r="A64" s="18" t="s">
        <v>17</v>
      </c>
      <c r="B64" s="43"/>
    </row>
    <row r="65" spans="1:2" ht="15" customHeight="1">
      <c r="A65" s="18" t="s">
        <v>2</v>
      </c>
      <c r="B65" s="47">
        <f>SUM(B63:B64)</f>
        <v>0</v>
      </c>
    </row>
    <row r="66" spans="1:2" ht="15" customHeight="1">
      <c r="A66" s="2"/>
      <c r="B66" s="23"/>
    </row>
    <row r="67" spans="1:2" ht="15" customHeight="1">
      <c r="A67" s="1" t="s">
        <v>18</v>
      </c>
      <c r="B67" s="40" t="str">
        <f>B7</f>
        <v>SUNDAY</v>
      </c>
    </row>
    <row r="68" spans="1:2" ht="15" customHeight="1">
      <c r="A68" s="18" t="s">
        <v>19</v>
      </c>
      <c r="B68" s="48"/>
    </row>
    <row r="69" spans="1:2" ht="15" customHeight="1">
      <c r="A69" s="18" t="s">
        <v>20</v>
      </c>
      <c r="B69" s="42"/>
    </row>
    <row r="70" spans="1:2" ht="15" customHeight="1">
      <c r="A70" s="18" t="s">
        <v>21</v>
      </c>
      <c r="B70" s="42"/>
    </row>
    <row r="71" spans="1:2" ht="15" customHeight="1">
      <c r="A71" s="18" t="s">
        <v>22</v>
      </c>
      <c r="B71" s="42"/>
    </row>
    <row r="72" spans="1:2" ht="15" customHeight="1">
      <c r="A72" s="18" t="s">
        <v>23</v>
      </c>
      <c r="B72" s="42"/>
    </row>
    <row r="73" spans="1:2" ht="15" customHeight="1">
      <c r="A73" s="18" t="s">
        <v>24</v>
      </c>
      <c r="B73" s="43"/>
    </row>
    <row r="74" spans="1:2" ht="15" customHeight="1">
      <c r="A74" s="18" t="s">
        <v>72</v>
      </c>
      <c r="B74" s="86">
        <f>B75-SUM(B68:B73)</f>
        <v>0</v>
      </c>
    </row>
    <row r="75" spans="1:2" ht="15" customHeight="1">
      <c r="A75" s="18" t="s">
        <v>2</v>
      </c>
      <c r="B75" s="87"/>
    </row>
    <row r="76" spans="1:2" ht="15" customHeight="1">
      <c r="A76" s="2"/>
      <c r="B76" s="26"/>
    </row>
    <row r="77" spans="1:2" ht="15" customHeight="1">
      <c r="A77" s="49" t="s">
        <v>25</v>
      </c>
      <c r="B77" s="50">
        <f>B34</f>
        <v>0</v>
      </c>
    </row>
    <row r="78" spans="1:2" ht="15" customHeight="1">
      <c r="A78" s="18" t="s">
        <v>45</v>
      </c>
      <c r="B78" s="51"/>
    </row>
    <row r="79" spans="1:2" ht="15" customHeight="1">
      <c r="A79" s="18" t="s">
        <v>46</v>
      </c>
      <c r="B79" s="52"/>
    </row>
    <row r="80" spans="1:2" ht="15" customHeight="1">
      <c r="A80" s="18" t="s">
        <v>71</v>
      </c>
      <c r="B80" s="66"/>
    </row>
    <row r="81" spans="1:2" ht="15" customHeight="1">
      <c r="A81" s="18" t="s">
        <v>27</v>
      </c>
      <c r="B81" s="53">
        <f>B65</f>
        <v>0</v>
      </c>
    </row>
    <row r="82" spans="1:2" ht="15" customHeight="1">
      <c r="A82" s="18" t="s">
        <v>28</v>
      </c>
      <c r="B82" s="54">
        <f>B59</f>
        <v>0</v>
      </c>
    </row>
    <row r="83" spans="1:2" ht="15" customHeight="1">
      <c r="A83" s="18" t="s">
        <v>29</v>
      </c>
      <c r="B83" s="47">
        <f>B77+B78+B79+B80+B81+B82</f>
        <v>0</v>
      </c>
    </row>
    <row r="84" spans="1:2" ht="15" customHeight="1">
      <c r="A84" s="2"/>
      <c r="B84" s="26"/>
    </row>
    <row r="85" spans="1:2" ht="15" customHeight="1">
      <c r="A85" s="18" t="s">
        <v>30</v>
      </c>
      <c r="B85" s="55">
        <f>B83-B75</f>
        <v>0</v>
      </c>
    </row>
    <row r="86" spans="1:2" ht="15" customHeight="1">
      <c r="A86" s="2"/>
      <c r="B86" s="23"/>
    </row>
    <row r="87" spans="1:2" ht="15" customHeight="1">
      <c r="A87" s="2"/>
      <c r="B87" s="2"/>
    </row>
    <row r="88" spans="1:2" ht="15" customHeight="1">
      <c r="A88" s="2" t="s">
        <v>34</v>
      </c>
      <c r="B88" s="56" t="str">
        <f>B7</f>
        <v>SUNDAY</v>
      </c>
    </row>
    <row r="89" spans="1:2" ht="15" customHeight="1">
      <c r="A89" s="18" t="s">
        <v>35</v>
      </c>
      <c r="B89" s="41"/>
    </row>
    <row r="90" spans="1:2" ht="15" customHeight="1">
      <c r="A90" s="18" t="s">
        <v>36</v>
      </c>
      <c r="B90" s="42"/>
    </row>
    <row r="91" spans="1:2" ht="15" customHeight="1">
      <c r="A91" s="18" t="s">
        <v>37</v>
      </c>
      <c r="B91" s="42"/>
    </row>
    <row r="92" spans="1:2" ht="15" customHeight="1">
      <c r="A92" s="18" t="s">
        <v>47</v>
      </c>
      <c r="B92" s="42"/>
    </row>
    <row r="93" spans="1:2" ht="15" customHeight="1">
      <c r="A93" s="18" t="s">
        <v>39</v>
      </c>
      <c r="B93" s="43"/>
    </row>
    <row r="94" ht="15" customHeight="1">
      <c r="B94" s="57"/>
    </row>
    <row r="95" spans="1:2" ht="15" customHeight="1">
      <c r="A95" s="58" t="s">
        <v>48</v>
      </c>
      <c r="B95" s="59"/>
    </row>
    <row r="96" spans="1:2" ht="15" customHeight="1">
      <c r="A96" s="60" t="s">
        <v>49</v>
      </c>
      <c r="B96" s="41"/>
    </row>
    <row r="97" spans="1:2" ht="15" customHeight="1">
      <c r="A97" s="60" t="s">
        <v>50</v>
      </c>
      <c r="B97" s="42"/>
    </row>
    <row r="98" spans="1:2" ht="15" customHeight="1">
      <c r="A98" s="60" t="s">
        <v>51</v>
      </c>
      <c r="B98" s="42"/>
    </row>
    <row r="99" spans="1:2" ht="15" customHeight="1">
      <c r="A99" s="60" t="s">
        <v>52</v>
      </c>
      <c r="B99" s="42"/>
    </row>
    <row r="100" spans="1:2" ht="15" customHeight="1">
      <c r="A100" s="60" t="s">
        <v>53</v>
      </c>
      <c r="B100" s="42"/>
    </row>
    <row r="101" spans="1:2" ht="15" customHeight="1">
      <c r="A101" s="60" t="s">
        <v>54</v>
      </c>
      <c r="B101" s="42"/>
    </row>
    <row r="102" spans="1:2" ht="15" customHeight="1">
      <c r="A102" s="60" t="s">
        <v>55</v>
      </c>
      <c r="B102" s="42"/>
    </row>
    <row r="103" spans="1:2" ht="15" customHeight="1">
      <c r="A103" s="60" t="s">
        <v>56</v>
      </c>
      <c r="B103" s="42"/>
    </row>
    <row r="104" spans="1:2" ht="15" customHeight="1">
      <c r="A104" s="60" t="s">
        <v>57</v>
      </c>
      <c r="B104" s="42"/>
    </row>
    <row r="105" spans="1:2" ht="15" customHeight="1">
      <c r="A105" s="60" t="s">
        <v>58</v>
      </c>
      <c r="B105" s="43"/>
    </row>
    <row r="106" spans="1:2" ht="15" customHeight="1">
      <c r="A106" s="60" t="s">
        <v>59</v>
      </c>
      <c r="B106" s="44">
        <f>SUM(B96:B104)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 topLeftCell="A1">
      <selection pane="topLeft" activeCell="B29" sqref="B29"/>
    </sheetView>
  </sheetViews>
  <sheetFormatPr defaultColWidth="9.140625" defaultRowHeight="12.75"/>
  <cols>
    <col min="1" max="1" width="28.7142857142857" customWidth="1"/>
    <col min="2" max="9" width="20.8571428571429" customWidth="1"/>
  </cols>
  <sheetData>
    <row r="1" ht="15" customHeight="1">
      <c r="A1" s="61"/>
    </row>
    <row r="2" ht="15" customHeight="1">
      <c r="A2" s="2"/>
    </row>
    <row r="3" spans="1:9" ht="15" customHeight="1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si="0" ref="I4">SUM(B4:H4)</f>
        <v>0</v>
      </c>
    </row>
    <row r="5" spans="1:9" ht="15" customHeight="1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si="1" ref="I5:I7">SUM(B5:H5)</f>
        <v>0</v>
      </c>
    </row>
    <row r="6" spans="1:9" ht="15" customHeight="1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si="2" ref="I8:I14">SUM(B8:H8)</f>
        <v>0</v>
      </c>
    </row>
    <row r="9" spans="1:9" ht="15" customHeight="1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>
      <c r="A16" s="18" t="str">
        <f>IF(I16&gt;10,"THIS SHOULD BE ZERO","")</f>
        <v>THIS SHOULD BE ZERO</v>
      </c>
      <c r="B16" s="45">
        <f>MON!B20</f>
        <v>500</v>
      </c>
      <c r="C16" s="45">
        <f>TUES!B20</f>
        <v>500</v>
      </c>
      <c r="D16" s="45">
        <f>WED!B20</f>
        <v>500</v>
      </c>
      <c r="E16" s="45">
        <f>THUR!B20</f>
        <v>500</v>
      </c>
      <c r="F16" s="45">
        <f>FRI!B20</f>
        <v>500</v>
      </c>
      <c r="G16" s="45">
        <f>SAT!B20</f>
        <v>500</v>
      </c>
      <c r="H16" s="45">
        <f>SUN!B20</f>
        <v>500</v>
      </c>
      <c r="I16" s="45">
        <f>SUM(B16:H16)</f>
        <v>3500</v>
      </c>
    </row>
    <row r="17" spans="1:9" ht="15" customHeight="1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si="3" ref="I19">SUM(B19:H19)</f>
        <v>0</v>
      </c>
    </row>
    <row r="20" spans="1:9" ht="15" customHeight="1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si="4" ref="I20:I29">SUM(B20:H20)</f>
        <v>0</v>
      </c>
    </row>
    <row r="21" spans="1:9" ht="15" customHeight="1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si="5" ref="I33">SUM(B33:H33)</f>
        <v>0</v>
      </c>
    </row>
    <row r="34" spans="1:9" ht="15" customHeight="1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si="6" ref="I34:I42">SUM(B34:H34)</f>
        <v>0</v>
      </c>
    </row>
    <row r="35" spans="1:9" ht="15" customHeight="1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si="7" ref="I43">SUM(B43:H43)</f>
        <v>0</v>
      </c>
    </row>
    <row r="44" spans="1:9" ht="15" customHeight="1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" customHeight="1">
      <c r="A45" s="2"/>
      <c r="B45" s="22"/>
      <c r="C45" s="22"/>
      <c r="D45" s="22"/>
      <c r="E45" s="22"/>
      <c r="F45" s="22"/>
      <c r="G45" s="22"/>
      <c r="H45" s="22"/>
      <c r="I45" s="22"/>
    </row>
    <row r="46" spans="1:9" ht="15" customHeight="1">
      <c r="A46" s="1" t="str">
        <f>MON!A50</f>
        <v>RECEIPTS Amount (Dockets Attached)</v>
      </c>
      <c r="B46" s="40" t="str">
        <f>MON!B50</f>
        <v>MONDAY</v>
      </c>
      <c r="C46" s="40" t="str">
        <f>TUES!B50</f>
        <v>TUESDAY</v>
      </c>
      <c r="D46" s="40" t="str">
        <f>WED!B50</f>
        <v>WEDNESDAY</v>
      </c>
      <c r="E46" s="40" t="str">
        <f>THUR!B50</f>
        <v>THURSDAY</v>
      </c>
      <c r="F46" s="40" t="str">
        <f>FRI!B50</f>
        <v>FRIDAY</v>
      </c>
      <c r="G46" s="40" t="str">
        <f>SAT!B50</f>
        <v>SATURDAY</v>
      </c>
      <c r="H46" s="40" t="str">
        <f>SUN!B50</f>
        <v>SUNDAY</v>
      </c>
      <c r="I46" s="40" t="str">
        <f>I3</f>
        <v>TOTAL</v>
      </c>
    </row>
    <row r="47" spans="1:9" ht="15" customHeight="1">
      <c r="A47" s="18" t="str">
        <f>MON!A51</f>
        <v>Receipt 1</v>
      </c>
      <c r="B47" s="42">
        <f>MON!B51</f>
        <v>0</v>
      </c>
      <c r="C47" s="41">
        <f>TUES!B51</f>
        <v>0</v>
      </c>
      <c r="D47" s="41">
        <f>WED!B51</f>
        <v>0</v>
      </c>
      <c r="E47" s="41">
        <f>THUR!B51</f>
        <v>0</v>
      </c>
      <c r="F47" s="41">
        <f>FRI!B51</f>
        <v>0</v>
      </c>
      <c r="G47" s="41">
        <f>SAT!B51</f>
        <v>0</v>
      </c>
      <c r="H47" s="41">
        <f>SUN!B51</f>
        <v>0</v>
      </c>
      <c r="I47" s="41">
        <f t="shared" si="8" ref="I47">SUM(B47:H47)</f>
        <v>0</v>
      </c>
    </row>
    <row r="48" spans="1:9" ht="15" customHeight="1">
      <c r="A48" s="18" t="str">
        <f>MON!A52</f>
        <v>Receipt 2</v>
      </c>
      <c r="B48" s="42">
        <f>MON!B52</f>
        <v>0</v>
      </c>
      <c r="C48" s="42">
        <f>TUES!B52</f>
        <v>0</v>
      </c>
      <c r="D48" s="42">
        <f>WED!B52</f>
        <v>0</v>
      </c>
      <c r="E48" s="42">
        <f>THUR!B52</f>
        <v>0</v>
      </c>
      <c r="F48" s="42">
        <f>FRI!B52</f>
        <v>0</v>
      </c>
      <c r="G48" s="42">
        <f>SAT!B52</f>
        <v>0</v>
      </c>
      <c r="H48" s="42">
        <f>SUN!B52</f>
        <v>0</v>
      </c>
      <c r="I48" s="42">
        <f t="shared" si="9" ref="I48:I54">SUM(B48:H48)</f>
        <v>0</v>
      </c>
    </row>
    <row r="49" spans="1:9" ht="15" customHeight="1">
      <c r="A49" s="18" t="str">
        <f>MON!A53</f>
        <v>Receipt 3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si="9"/>
        <v>0</v>
      </c>
    </row>
    <row r="50" spans="1:9" ht="15" customHeight="1">
      <c r="A50" s="18" t="str">
        <f>MON!A54</f>
        <v>Receipt 4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>
      <c r="A51" s="18" t="str">
        <f>MON!A55</f>
        <v>Receipt 5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>
      <c r="A52" s="18" t="str">
        <f>MON!A56</f>
        <v>Receipt 6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>
      <c r="A53" s="18" t="str">
        <f>MON!A57</f>
        <v>Receipt 7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>
      <c r="A54" s="18" t="str">
        <f>MON!A58</f>
        <v>Receipt 8</v>
      </c>
      <c r="B54" s="43">
        <f>MON!B58</f>
        <v>0</v>
      </c>
      <c r="C54" s="43">
        <f>TUES!B58</f>
        <v>0</v>
      </c>
      <c r="D54" s="43">
        <f>WED!B58</f>
        <v>0</v>
      </c>
      <c r="E54" s="43">
        <f>THUR!B58</f>
        <v>0</v>
      </c>
      <c r="F54" s="43">
        <f>FRI!B58</f>
        <v>0</v>
      </c>
      <c r="G54" s="43">
        <f>SAT!B58</f>
        <v>0</v>
      </c>
      <c r="H54" s="43">
        <f>SUN!B58</f>
        <v>0</v>
      </c>
      <c r="I54" s="43">
        <f t="shared" si="9"/>
        <v>0</v>
      </c>
    </row>
    <row r="55" spans="1:9" ht="15" customHeight="1">
      <c r="A55" s="18" t="str">
        <f>MON!A59</f>
        <v>Total</v>
      </c>
      <c r="B55" s="44">
        <f>MON!B59</f>
        <v>0</v>
      </c>
      <c r="C55" s="44">
        <f>TUES!B59</f>
        <v>0</v>
      </c>
      <c r="D55" s="44">
        <f>WED!B59</f>
        <v>0</v>
      </c>
      <c r="E55" s="44">
        <f>THUR!B59</f>
        <v>0</v>
      </c>
      <c r="F55" s="44">
        <f>FRI!B59</f>
        <v>0</v>
      </c>
      <c r="G55" s="44">
        <f>SAT!B59</f>
        <v>0</v>
      </c>
      <c r="H55" s="44">
        <f>SUN!B59</f>
        <v>0</v>
      </c>
      <c r="I55" s="47">
        <f>SUM(I47:I54)</f>
        <v>0</v>
      </c>
    </row>
    <row r="56" spans="1:9" ht="15" customHeight="1">
      <c r="A56" s="2"/>
      <c r="B56" s="23"/>
      <c r="C56" s="23"/>
      <c r="D56" s="23"/>
      <c r="E56" s="23"/>
      <c r="F56" s="23"/>
      <c r="G56" s="23"/>
      <c r="H56" s="23"/>
      <c r="I56" s="23"/>
    </row>
    <row r="57" spans="1:9" ht="15" customHeight="1">
      <c r="A57" s="1" t="str">
        <f>MON!A61</f>
        <v>ACCOUNTS</v>
      </c>
      <c r="B57" s="40" t="str">
        <f>MON!B61</f>
        <v>MONDAY</v>
      </c>
      <c r="C57" s="40" t="str">
        <f>TUES!B61</f>
        <v>TUESDAY</v>
      </c>
      <c r="D57" s="40" t="str">
        <f>WED!B61</f>
        <v>WEDNESDAY</v>
      </c>
      <c r="E57" s="40" t="str">
        <f>THUR!B61</f>
        <v>THURSDAY</v>
      </c>
      <c r="F57" s="40" t="str">
        <f>FRI!B61</f>
        <v>FRIDAY</v>
      </c>
      <c r="G57" s="40" t="str">
        <f>SAT!B61</f>
        <v>SATURDAY</v>
      </c>
      <c r="H57" s="40" t="str">
        <f>SUN!B61</f>
        <v>SUNDAY</v>
      </c>
      <c r="I57" s="40" t="str">
        <f>I3</f>
        <v>TOTAL</v>
      </c>
    </row>
    <row r="58" spans="1:9" ht="15" customHeight="1">
      <c r="A58" s="18" t="str">
        <f>MON!A62</f>
        <v>Studio Account Name</v>
      </c>
      <c r="B58" s="62" t="str">
        <f>MON!B62</f>
        <v>Amount</v>
      </c>
      <c r="C58" s="62" t="str">
        <f>TUES!B62</f>
        <v>Amount</v>
      </c>
      <c r="D58" s="62" t="str">
        <f>WED!B62</f>
        <v>Amount</v>
      </c>
      <c r="E58" s="62" t="str">
        <f>THUR!B62</f>
        <v>Amount</v>
      </c>
      <c r="F58" s="62" t="str">
        <f>FRI!B62</f>
        <v>Amount</v>
      </c>
      <c r="G58" s="62" t="str">
        <f>SAT!B62</f>
        <v>Amount</v>
      </c>
      <c r="H58" s="62" t="str">
        <f>SUN!B62</f>
        <v>Amount</v>
      </c>
      <c r="I58" s="46"/>
    </row>
    <row r="59" spans="1:9" ht="15" customHeight="1">
      <c r="A59" s="18"/>
      <c r="B59" s="42">
        <f>MON!B63</f>
        <v>0</v>
      </c>
      <c r="C59" s="42">
        <f>TUES!B63</f>
        <v>0</v>
      </c>
      <c r="D59" s="42">
        <f>WED!B63</f>
        <v>0</v>
      </c>
      <c r="E59" s="42">
        <f>THUR!B63</f>
        <v>0</v>
      </c>
      <c r="F59" s="42">
        <f>FRI!B63</f>
        <v>0</v>
      </c>
      <c r="G59" s="42">
        <f>SAT!B63</f>
        <v>0</v>
      </c>
      <c r="H59" s="42">
        <f>SUN!B63</f>
        <v>0</v>
      </c>
      <c r="I59" s="42">
        <f>SUM(B59:H59)</f>
        <v>0</v>
      </c>
    </row>
    <row r="60" spans="1:9" ht="15" customHeight="1">
      <c r="A60" s="18" t="str">
        <f>MON!A64</f>
        <v>Gift Cards</v>
      </c>
      <c r="B60" s="43">
        <f>MON!B64</f>
        <v>0</v>
      </c>
      <c r="C60" s="43">
        <f>TUES!B64</f>
        <v>0</v>
      </c>
      <c r="D60" s="43">
        <f>WED!B64</f>
        <v>0</v>
      </c>
      <c r="E60" s="43">
        <f>THUR!B64</f>
        <v>0</v>
      </c>
      <c r="F60" s="43">
        <f>FRI!B64</f>
        <v>0</v>
      </c>
      <c r="G60" s="43">
        <f>SAT!B64</f>
        <v>0</v>
      </c>
      <c r="H60" s="43">
        <f>SUN!B64</f>
        <v>0</v>
      </c>
      <c r="I60" s="43">
        <f>SUM(B60:H60)</f>
        <v>0</v>
      </c>
    </row>
    <row r="61" spans="1:9" ht="15" customHeight="1">
      <c r="A61" s="18" t="str">
        <f>MON!A65</f>
        <v>Total</v>
      </c>
      <c r="B61" s="47">
        <f>MON!B65</f>
        <v>0</v>
      </c>
      <c r="C61" s="47">
        <f>TUES!B65</f>
        <v>0</v>
      </c>
      <c r="D61" s="47">
        <f>WED!B65</f>
        <v>0</v>
      </c>
      <c r="E61" s="47">
        <f>THUR!B65</f>
        <v>0</v>
      </c>
      <c r="F61" s="47">
        <f>FRI!B65</f>
        <v>0</v>
      </c>
      <c r="G61" s="47">
        <f>SAT!B65</f>
        <v>0</v>
      </c>
      <c r="H61" s="47">
        <f>SUN!B65</f>
        <v>0</v>
      </c>
      <c r="I61" s="47">
        <f>SUM(I59:I60)</f>
        <v>0</v>
      </c>
    </row>
    <row r="62" spans="1:9" ht="15" customHeight="1">
      <c r="A62" s="2"/>
      <c r="B62" s="23"/>
      <c r="C62" s="23"/>
      <c r="D62" s="23"/>
      <c r="E62" s="23"/>
      <c r="F62" s="23"/>
      <c r="G62" s="23"/>
      <c r="H62" s="23"/>
      <c r="I62" s="23"/>
    </row>
    <row r="63" spans="1:9" ht="15" customHeight="1">
      <c r="A63" s="1" t="str">
        <f>MON!A67</f>
        <v>SALES</v>
      </c>
      <c r="B63" s="40" t="str">
        <f>MON!B67</f>
        <v>MONDAY</v>
      </c>
      <c r="C63" s="40" t="str">
        <f>TUES!B67</f>
        <v>TUESDAY</v>
      </c>
      <c r="D63" s="40" t="str">
        <f>WED!B67</f>
        <v>WEDNESDAY</v>
      </c>
      <c r="E63" s="40" t="str">
        <f>THUR!B67</f>
        <v>THURSDAY</v>
      </c>
      <c r="F63" s="40" t="str">
        <f>FRI!B67</f>
        <v>FRIDAY</v>
      </c>
      <c r="G63" s="40" t="str">
        <f>SAT!B67</f>
        <v>SATURDAY</v>
      </c>
      <c r="H63" s="40" t="str">
        <f>SUN!B67</f>
        <v>SUNDAY</v>
      </c>
      <c r="I63" s="40" t="str">
        <f>I3</f>
        <v>TOTAL</v>
      </c>
    </row>
    <row r="64" spans="1:9" ht="15" customHeight="1">
      <c r="A64" s="18" t="str">
        <f>MON!A68</f>
        <v>Coffee</v>
      </c>
      <c r="B64" s="48">
        <f>MON!B68</f>
        <v>0</v>
      </c>
      <c r="C64" s="48">
        <f>TUES!B68</f>
        <v>0</v>
      </c>
      <c r="D64" s="48">
        <f>WED!B68</f>
        <v>0</v>
      </c>
      <c r="E64" s="48">
        <f>THUR!B68</f>
        <v>0</v>
      </c>
      <c r="F64" s="48">
        <f>FRI!B68</f>
        <v>0</v>
      </c>
      <c r="G64" s="48">
        <f>SAT!B68</f>
        <v>0</v>
      </c>
      <c r="H64" s="48">
        <f>SUN!B68</f>
        <v>0</v>
      </c>
      <c r="I64" s="48">
        <f t="shared" si="10" ref="I64:I69">SUM(B64:H64)</f>
        <v>0</v>
      </c>
    </row>
    <row r="65" spans="1:9" ht="15" customHeight="1">
      <c r="A65" s="18" t="str">
        <f>MON!A69</f>
        <v>Food</v>
      </c>
      <c r="B65" s="42">
        <f>MON!B69</f>
        <v>0</v>
      </c>
      <c r="C65" s="42">
        <f>TUES!B69</f>
        <v>0</v>
      </c>
      <c r="D65" s="42">
        <f>WED!B69</f>
        <v>0</v>
      </c>
      <c r="E65" s="42">
        <f>THUR!B69</f>
        <v>0</v>
      </c>
      <c r="F65" s="42">
        <f>FRI!B69</f>
        <v>0</v>
      </c>
      <c r="G65" s="42">
        <f>SAT!B69</f>
        <v>0</v>
      </c>
      <c r="H65" s="42">
        <f>SUN!B69</f>
        <v>0</v>
      </c>
      <c r="I65" s="42">
        <f t="shared" si="10"/>
        <v>0</v>
      </c>
    </row>
    <row r="66" spans="1:9" ht="15" customHeight="1">
      <c r="A66" s="18" t="str">
        <f>MON!A70</f>
        <v>Soft Drinks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>
      <c r="A67" s="18" t="str">
        <f>MON!A71</f>
        <v>Alcohol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>
      <c r="A68" s="18" t="str">
        <f>MON!A72</f>
        <v>Retail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>
      <c r="A69" s="18" t="str">
        <f>MON!A73</f>
        <v>Room Hire</v>
      </c>
      <c r="B69" s="52">
        <f>MON!B73</f>
        <v>0</v>
      </c>
      <c r="C69" s="52">
        <f>TUES!B73</f>
        <v>0</v>
      </c>
      <c r="D69" s="52">
        <f>WED!B73</f>
        <v>0</v>
      </c>
      <c r="E69" s="52">
        <f>THUR!B73</f>
        <v>0</v>
      </c>
      <c r="F69" s="52">
        <f>FRI!B73</f>
        <v>0</v>
      </c>
      <c r="G69" s="52">
        <f>SAT!B73</f>
        <v>0</v>
      </c>
      <c r="H69" s="52">
        <f>SUN!B73</f>
        <v>0</v>
      </c>
      <c r="I69" s="52">
        <f t="shared" si="10"/>
        <v>0</v>
      </c>
    </row>
    <row r="70" spans="1:9" ht="15" customHeight="1">
      <c r="A70" s="18" t="s">
        <v>72</v>
      </c>
      <c r="B70" s="88">
        <f>MON!B74</f>
        <v>0</v>
      </c>
      <c r="C70" s="88">
        <f>TUES!B74</f>
        <v>0</v>
      </c>
      <c r="D70" s="88">
        <f>WED!B74</f>
        <v>0</v>
      </c>
      <c r="E70" s="88">
        <f>THUR!B74</f>
        <v>0</v>
      </c>
      <c r="F70" s="88">
        <f>FRI!B74</f>
        <v>0</v>
      </c>
      <c r="G70" s="88">
        <f>SAT!B74</f>
        <v>0</v>
      </c>
      <c r="H70" s="88">
        <f>SUN!B74</f>
        <v>0</v>
      </c>
      <c r="I70" s="88">
        <f t="shared" si="11" ref="I70">SUM(B70:H70)</f>
        <v>0</v>
      </c>
    </row>
    <row r="71" spans="1:9" ht="15" customHeight="1">
      <c r="A71" s="18" t="str">
        <f>MON!A75</f>
        <v>Total</v>
      </c>
      <c r="B71" s="44">
        <f>MON!B75</f>
        <v>0</v>
      </c>
      <c r="C71" s="44">
        <f>TUES!B75</f>
        <v>0</v>
      </c>
      <c r="D71" s="44">
        <f>WED!B75</f>
        <v>0</v>
      </c>
      <c r="E71" s="44">
        <f>THUR!B75</f>
        <v>0</v>
      </c>
      <c r="F71" s="44">
        <f>FRI!B75</f>
        <v>0</v>
      </c>
      <c r="G71" s="44">
        <f>SAT!B75</f>
        <v>0</v>
      </c>
      <c r="H71" s="44">
        <f>SUN!B75</f>
        <v>0</v>
      </c>
      <c r="I71" s="44">
        <f>SUM(I64:I69)</f>
        <v>0</v>
      </c>
    </row>
    <row r="72" spans="1:9" ht="15" customHeight="1">
      <c r="A72" s="2"/>
      <c r="B72" s="26"/>
      <c r="C72" s="26"/>
      <c r="D72" s="26"/>
      <c r="E72" s="26"/>
      <c r="F72" s="26"/>
      <c r="G72" s="26"/>
      <c r="H72" s="26"/>
      <c r="I72" s="26"/>
    </row>
    <row r="73" spans="1:9" ht="15" customHeight="1">
      <c r="A73" s="49" t="str">
        <f>MON!A77</f>
        <v>Cash Banked</v>
      </c>
      <c r="B73" s="50">
        <f>MON!B77</f>
        <v>0</v>
      </c>
      <c r="C73" s="50">
        <f>TUES!B77</f>
        <v>0</v>
      </c>
      <c r="D73" s="50">
        <f>WED!B77</f>
        <v>0</v>
      </c>
      <c r="E73" s="50">
        <f>THUR!B77</f>
        <v>0</v>
      </c>
      <c r="F73" s="50">
        <f>FRI!B77</f>
        <v>0</v>
      </c>
      <c r="G73" s="50">
        <f>SAT!B77</f>
        <v>0</v>
      </c>
      <c r="H73" s="50">
        <f>SUN!B77</f>
        <v>0</v>
      </c>
      <c r="I73" s="50">
        <f t="shared" si="12" ref="I73:I78">SUM(B73:H73)</f>
        <v>0</v>
      </c>
    </row>
    <row r="74" spans="1:9" ht="15" customHeight="1">
      <c r="A74" s="18" t="str">
        <f>MON!A78</f>
        <v>Z Read 1</v>
      </c>
      <c r="B74" s="51">
        <f>MON!B78</f>
        <v>0</v>
      </c>
      <c r="C74" s="51">
        <f>TUES!B78</f>
        <v>0</v>
      </c>
      <c r="D74" s="51">
        <f>WED!B78</f>
        <v>0</v>
      </c>
      <c r="E74" s="51">
        <f>THUR!B78</f>
        <v>0</v>
      </c>
      <c r="F74" s="51">
        <f>FRI!B78</f>
        <v>0</v>
      </c>
      <c r="G74" s="51">
        <f>SAT!B78</f>
        <v>0</v>
      </c>
      <c r="H74" s="51">
        <f>SUN!B78</f>
        <v>0</v>
      </c>
      <c r="I74" s="51">
        <f t="shared" si="12"/>
        <v>0</v>
      </c>
    </row>
    <row r="75" spans="1:9" ht="15" customHeight="1">
      <c r="A75" s="18" t="str">
        <f>MON!A79</f>
        <v>Z Read 2</v>
      </c>
      <c r="B75" s="52">
        <f>MON!B79</f>
        <v>0</v>
      </c>
      <c r="C75" s="52">
        <f>TUES!B79</f>
        <v>0</v>
      </c>
      <c r="D75" s="52">
        <f>WED!B79</f>
        <v>0</v>
      </c>
      <c r="E75" s="52">
        <f>THUR!B79</f>
        <v>0</v>
      </c>
      <c r="F75" s="52">
        <f>FRI!B79</f>
        <v>0</v>
      </c>
      <c r="G75" s="52">
        <f>SAT!B79</f>
        <v>0</v>
      </c>
      <c r="H75" s="52">
        <f>SUN!B79</f>
        <v>0</v>
      </c>
      <c r="I75" s="42">
        <f t="shared" si="12"/>
        <v>0</v>
      </c>
    </row>
    <row r="76" spans="1:9" ht="15" customHeight="1">
      <c r="A76" s="18" t="str">
        <f>MON!A80</f>
        <v>Z Read 3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>
      <c r="A77" s="18" t="str">
        <f>MON!A81</f>
        <v>Accounts</v>
      </c>
      <c r="B77" s="53">
        <f>MON!B81</f>
        <v>0</v>
      </c>
      <c r="C77" s="53">
        <f>TUES!B81</f>
        <v>0</v>
      </c>
      <c r="D77" s="53">
        <f>WED!B81</f>
        <v>0</v>
      </c>
      <c r="E77" s="53">
        <f>THUR!B81</f>
        <v>0</v>
      </c>
      <c r="F77" s="53">
        <f>FRI!B81</f>
        <v>0</v>
      </c>
      <c r="G77" s="53">
        <f>SAT!B81</f>
        <v>0</v>
      </c>
      <c r="H77" s="53">
        <f>SUN!B81</f>
        <v>0</v>
      </c>
      <c r="I77" s="63">
        <f t="shared" si="12"/>
        <v>0</v>
      </c>
    </row>
    <row r="78" spans="1:9" ht="15" customHeight="1">
      <c r="A78" s="18" t="str">
        <f>MON!A82</f>
        <v>Receipts</v>
      </c>
      <c r="B78" s="54">
        <f>MON!B82</f>
        <v>0</v>
      </c>
      <c r="C78" s="54">
        <f>TUES!B82</f>
        <v>0</v>
      </c>
      <c r="D78" s="54">
        <f>WED!B82</f>
        <v>0</v>
      </c>
      <c r="E78" s="54">
        <f>THUR!B82</f>
        <v>0</v>
      </c>
      <c r="F78" s="54">
        <f>FRI!B82</f>
        <v>0</v>
      </c>
      <c r="G78" s="54">
        <f>SAT!B82</f>
        <v>0</v>
      </c>
      <c r="H78" s="54">
        <f>SUN!B82</f>
        <v>0</v>
      </c>
      <c r="I78" s="54">
        <f t="shared" si="12"/>
        <v>0</v>
      </c>
    </row>
    <row r="79" spans="1:9" ht="15" customHeight="1">
      <c r="A79" s="18" t="str">
        <f>MON!A83</f>
        <v>TOTAL</v>
      </c>
      <c r="B79" s="47">
        <f>MON!B83</f>
        <v>0</v>
      </c>
      <c r="C79" s="47">
        <f>TUES!B83</f>
        <v>0</v>
      </c>
      <c r="D79" s="47">
        <f>WED!B83</f>
        <v>0</v>
      </c>
      <c r="E79" s="47">
        <f>THUR!B83</f>
        <v>0</v>
      </c>
      <c r="F79" s="47">
        <f>FRI!B83</f>
        <v>0</v>
      </c>
      <c r="G79" s="47">
        <f>SAT!B83</f>
        <v>0</v>
      </c>
      <c r="H79" s="47">
        <f>SUN!B83</f>
        <v>0</v>
      </c>
      <c r="I79" s="47">
        <f>SUM(I73:I78)</f>
        <v>0</v>
      </c>
    </row>
    <row r="80" spans="1:9" ht="15" customHeight="1">
      <c r="A80" s="2"/>
      <c r="B80" s="26"/>
      <c r="C80" s="26"/>
      <c r="D80" s="26"/>
      <c r="E80" s="26"/>
      <c r="F80" s="26"/>
      <c r="G80" s="26"/>
      <c r="H80" s="26"/>
      <c r="I80" s="26"/>
    </row>
    <row r="81" spans="1:9" ht="15" customHeight="1">
      <c r="A81" s="67" t="s">
        <v>71</v>
      </c>
      <c r="B81" s="68"/>
      <c r="C81" s="68"/>
      <c r="D81" s="68"/>
      <c r="E81" s="68"/>
      <c r="F81" s="68"/>
      <c r="G81" s="68"/>
      <c r="H81" s="68"/>
      <c r="I81" s="68"/>
    </row>
    <row r="82" spans="1:9" ht="15" customHeight="1">
      <c r="A82" s="18" t="str">
        <f>MON!A85</f>
        <v>Variance</v>
      </c>
      <c r="B82" s="55">
        <f>MON!B85</f>
        <v>0</v>
      </c>
      <c r="C82" s="55">
        <f>TUES!B85</f>
        <v>0</v>
      </c>
      <c r="D82" s="55">
        <f>WED!B85</f>
        <v>0</v>
      </c>
      <c r="E82" s="55">
        <f>THUR!B85</f>
        <v>0</v>
      </c>
      <c r="F82" s="55">
        <f>FRI!B85</f>
        <v>0</v>
      </c>
      <c r="G82" s="55">
        <f>SAT!B85</f>
        <v>0</v>
      </c>
      <c r="H82" s="55">
        <f>SUN!B85</f>
        <v>0</v>
      </c>
      <c r="I82" s="55">
        <f>SUM(B82:H82)</f>
        <v>0</v>
      </c>
    </row>
    <row r="83" spans="1:9" ht="15" customHeight="1">
      <c r="A83" s="2"/>
      <c r="B83" s="23"/>
      <c r="C83" s="23"/>
      <c r="D83" s="23"/>
      <c r="E83" s="23"/>
      <c r="F83" s="23"/>
      <c r="G83" s="23"/>
      <c r="H83" s="23"/>
      <c r="I83" s="23"/>
    </row>
    <row r="84" spans="1:9" ht="15" customHeight="1">
      <c r="A84" s="2"/>
      <c r="B84" s="2"/>
      <c r="C84" s="2"/>
      <c r="D84" s="2"/>
      <c r="E84" s="2"/>
      <c r="F84" s="2"/>
      <c r="G84" s="2"/>
      <c r="H84" s="2"/>
      <c r="I84" s="2"/>
    </row>
    <row r="85" spans="1:9" ht="15" customHeight="1">
      <c r="A85" s="2" t="str">
        <f>MON!A88</f>
        <v>BANKED MONEY</v>
      </c>
      <c r="B85" s="40" t="str">
        <f>MON!B88</f>
        <v>MONDAY</v>
      </c>
      <c r="C85" s="40" t="str">
        <f>TUES!B88</f>
        <v>TUESDAY</v>
      </c>
      <c r="D85" s="40" t="str">
        <f>WED!B88</f>
        <v>WEDNESDAY</v>
      </c>
      <c r="E85" s="40" t="str">
        <f>THUR!B88</f>
        <v>THURSDAY</v>
      </c>
      <c r="F85" s="40" t="str">
        <f>FRI!B88</f>
        <v>FRIDAY</v>
      </c>
      <c r="G85" s="40" t="str">
        <f>SAT!B88</f>
        <v>SATURDAY</v>
      </c>
      <c r="H85" s="40" t="str">
        <f>SUN!B88</f>
        <v>SUNDAY</v>
      </c>
      <c r="I85" s="40" t="str">
        <f>I3</f>
        <v>TOTAL</v>
      </c>
    </row>
    <row r="86" spans="1:9" ht="15" customHeight="1">
      <c r="A86" s="18" t="str">
        <f>MON!A89</f>
        <v>Cash Bag Number</v>
      </c>
      <c r="B86" s="41">
        <f>MON!B89</f>
        <v>0</v>
      </c>
      <c r="C86" s="41">
        <f>TUES!B89</f>
        <v>0</v>
      </c>
      <c r="D86" s="41">
        <f>WED!B89</f>
        <v>0</v>
      </c>
      <c r="E86" s="41">
        <f>THUR!B89</f>
        <v>0</v>
      </c>
      <c r="F86" s="41">
        <f>FRI!B89</f>
        <v>0</v>
      </c>
      <c r="G86" s="41">
        <f>SAT!B89</f>
        <v>0</v>
      </c>
      <c r="H86" s="41">
        <f>SUN!B89</f>
        <v>0</v>
      </c>
      <c r="I86" s="41">
        <f>SUM(B86:H86)</f>
        <v>0</v>
      </c>
    </row>
    <row r="87" spans="1:9" ht="15" customHeight="1">
      <c r="A87" s="18" t="str">
        <f>MON!A90</f>
        <v>Cash Paying In Slip</v>
      </c>
      <c r="B87" s="42">
        <f>MON!B90</f>
        <v>0</v>
      </c>
      <c r="C87" s="42">
        <f>TUES!B90</f>
        <v>0</v>
      </c>
      <c r="D87" s="42">
        <f>WED!B90</f>
        <v>0</v>
      </c>
      <c r="E87" s="42">
        <f>THUR!B90</f>
        <v>0</v>
      </c>
      <c r="F87" s="42">
        <f>FRI!B90</f>
        <v>0</v>
      </c>
      <c r="G87" s="42">
        <f>SAT!B90</f>
        <v>0</v>
      </c>
      <c r="H87" s="42">
        <f>SUN!B90</f>
        <v>0</v>
      </c>
      <c r="I87" s="42">
        <f>SUM(B87:H87)</f>
        <v>0</v>
      </c>
    </row>
    <row r="88" spans="1:9" ht="15" customHeight="1">
      <c r="A88" s="18" t="str">
        <f>MON!A91</f>
        <v>HSBC Receipt No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>
      <c r="A89" s="18" t="str">
        <f>MON!A92</f>
        <v>Closing Supervisor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>
      <c r="A90" s="18" t="str">
        <f>MON!A93</f>
        <v>Date</v>
      </c>
      <c r="B90" s="43">
        <f>MON!B93</f>
        <v>0</v>
      </c>
      <c r="C90" s="43">
        <f>TUES!B93</f>
        <v>0</v>
      </c>
      <c r="D90" s="43">
        <f>WED!B93</f>
        <v>0</v>
      </c>
      <c r="E90" s="43">
        <f>THUR!B93</f>
        <v>0</v>
      </c>
      <c r="F90" s="43">
        <f>FRI!B93</f>
        <v>0</v>
      </c>
      <c r="G90" s="43">
        <f>SAT!B93</f>
        <v>0</v>
      </c>
      <c r="H90" s="43">
        <f>SUN!B93</f>
        <v>0</v>
      </c>
      <c r="I90" s="43">
        <f>SUM(B90:H90)</f>
        <v>0</v>
      </c>
    </row>
    <row r="91" spans="2:9" ht="15" customHeight="1">
      <c r="B91" s="57"/>
      <c r="C91" s="57"/>
      <c r="D91" s="57"/>
      <c r="E91" s="57"/>
      <c r="F91" s="57"/>
      <c r="G91" s="57"/>
      <c r="H91" s="57"/>
      <c r="I91" s="57"/>
    </row>
    <row r="92" spans="1:9" ht="15" customHeight="1">
      <c r="A92" s="58" t="str">
        <f>MON!A95</f>
        <v>DISCOUNTS/COMPS</v>
      </c>
      <c r="B92" s="59"/>
      <c r="C92" s="59"/>
      <c r="D92" s="59"/>
      <c r="E92" s="59"/>
      <c r="F92" s="59"/>
      <c r="G92" s="59"/>
      <c r="H92" s="59"/>
      <c r="I92" s="59"/>
    </row>
    <row r="93" spans="1:9" ht="15" customHeight="1">
      <c r="A93" s="60" t="str">
        <f>MON!A96</f>
        <v>Comp 1</v>
      </c>
      <c r="B93" s="41">
        <f>MON!B96</f>
        <v>0</v>
      </c>
      <c r="C93" s="41">
        <f>TUES!B96</f>
        <v>0</v>
      </c>
      <c r="D93" s="41">
        <f>WED!B96</f>
        <v>0</v>
      </c>
      <c r="E93" s="41">
        <f>THUR!B96</f>
        <v>0</v>
      </c>
      <c r="F93" s="41">
        <f>FRI!B96</f>
        <v>0</v>
      </c>
      <c r="G93" s="41">
        <f>SAT!B96</f>
        <v>0</v>
      </c>
      <c r="H93" s="41">
        <f>SUN!B96</f>
        <v>0</v>
      </c>
      <c r="I93" s="41">
        <f t="shared" si="13" ref="I93:I102">SUM(B93:H93)</f>
        <v>0</v>
      </c>
    </row>
    <row r="94" spans="1:9" ht="15" customHeight="1">
      <c r="A94" s="60" t="str">
        <f>MON!A97</f>
        <v>Comp 2</v>
      </c>
      <c r="B94" s="42">
        <f>MON!B97</f>
        <v>0</v>
      </c>
      <c r="C94" s="42">
        <f>TUES!B97</f>
        <v>0</v>
      </c>
      <c r="D94" s="42">
        <f>WED!B97</f>
        <v>0</v>
      </c>
      <c r="E94" s="42">
        <f>THUR!B97</f>
        <v>0</v>
      </c>
      <c r="F94" s="42">
        <f>FRI!B97</f>
        <v>0</v>
      </c>
      <c r="G94" s="42">
        <f>SAT!B97</f>
        <v>0</v>
      </c>
      <c r="H94" s="42">
        <f>SUN!B97</f>
        <v>0</v>
      </c>
      <c r="I94" s="42">
        <f t="shared" si="13"/>
        <v>0</v>
      </c>
    </row>
    <row r="95" spans="1:9" ht="15" customHeight="1">
      <c r="A95" s="60" t="str">
        <f>MON!A98</f>
        <v>Comp 3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>
      <c r="A96" s="60" t="str">
        <f>MON!A99</f>
        <v>Comp 4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>
      <c r="A97" s="60" t="str">
        <f>MON!A100</f>
        <v>Comp 5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>
      <c r="A98" s="60" t="str">
        <f>MON!A101</f>
        <v>Comp 6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>
      <c r="A99" s="60" t="str">
        <f>MON!A102</f>
        <v>Comp 7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>
      <c r="A100" s="60" t="str">
        <f>MON!A103</f>
        <v>Comp 8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>
      <c r="A101" s="60" t="str">
        <f>MON!A104</f>
        <v>Comp 9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>
      <c r="A102" s="60" t="str">
        <f>MON!A105</f>
        <v>Comp 10</v>
      </c>
      <c r="B102" s="43">
        <f>MON!B105</f>
        <v>0</v>
      </c>
      <c r="C102" s="43">
        <f>TUES!B105</f>
        <v>0</v>
      </c>
      <c r="D102" s="43">
        <f>WED!B105</f>
        <v>0</v>
      </c>
      <c r="E102" s="43">
        <f>THUR!B105</f>
        <v>0</v>
      </c>
      <c r="F102" s="43">
        <f>FRI!B105</f>
        <v>0</v>
      </c>
      <c r="G102" s="43">
        <f>SAT!B105</f>
        <v>0</v>
      </c>
      <c r="H102" s="43">
        <f>SUN!B105</f>
        <v>0</v>
      </c>
      <c r="I102" s="43">
        <f t="shared" si="13"/>
        <v>0</v>
      </c>
    </row>
    <row r="103" spans="1:9" ht="15" customHeight="1">
      <c r="A103" s="60" t="str">
        <f>MON!A106</f>
        <v>Total Comps</v>
      </c>
      <c r="B103" s="44">
        <f>MON!B106</f>
        <v>0</v>
      </c>
      <c r="C103" s="44">
        <f>TUES!B106</f>
        <v>0</v>
      </c>
      <c r="D103" s="44">
        <f>WED!B106</f>
        <v>0</v>
      </c>
      <c r="E103" s="44">
        <f>THUR!B106</f>
        <v>0</v>
      </c>
      <c r="F103" s="44">
        <f>FRI!B106</f>
        <v>0</v>
      </c>
      <c r="G103" s="44">
        <f>SAT!B106</f>
        <v>0</v>
      </c>
      <c r="H103" s="44">
        <f>SUN!B106</f>
        <v>0</v>
      </c>
      <c r="I103" s="47">
        <f>SUM(I93:I102)</f>
        <v>0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Simon K</cp:lastModifiedBy>
  <dcterms:created xsi:type="dcterms:W3CDTF">2014-12-02T09:43:38Z</dcterms:created>
  <dcterms:modified xsi:type="dcterms:W3CDTF">2015-01-08T15:33:17Z</dcterms:modified>
  <cp:category/>
  <cp:contentType/>
  <cp:contentStatus/>
</cp:coreProperties>
</file>