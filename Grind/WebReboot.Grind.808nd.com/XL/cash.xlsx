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Simon K\Desktop\Grind\Misc\"/>
    </mc:Choice>
  </mc:AlternateContent>
  <bookViews>
    <workbookView xWindow="0" yWindow="0" windowWidth="28800" windowHeight="13935" firstSheet="1" activeTab="1"/>
  </bookViews>
  <sheets>
    <sheet name="Sheet1" sheetId="1" state="hidden" r:id="rId1"/>
    <sheet name="MON" sheetId="2" r:id="rId2"/>
    <sheet name="TUES" sheetId="3" r:id="rId3"/>
    <sheet name="WED" sheetId="4" r:id="rId4"/>
    <sheet name="THUR" sheetId="5" r:id="rId5"/>
    <sheet name="FRI" sheetId="6" r:id="rId6"/>
    <sheet name="SAT" sheetId="7" r:id="rId7"/>
    <sheet name="SUN" sheetId="8" r:id="rId8"/>
    <sheet name="WEEKBEGDATE" sheetId="9" r:id="rId9"/>
  </sheets>
  <calcPr calcId="152511"/>
</workbook>
</file>

<file path=xl/calcChain.xml><?xml version="1.0" encoding="utf-8"?>
<calcChain xmlns="http://schemas.openxmlformats.org/spreadsheetml/2006/main">
  <c r="B70" i="9" l="1"/>
  <c r="I70" i="9" s="1"/>
  <c r="C70" i="9"/>
  <c r="D70" i="9"/>
  <c r="E70" i="9"/>
  <c r="F70" i="9"/>
  <c r="G70" i="9"/>
  <c r="H70" i="9"/>
  <c r="B74" i="3"/>
  <c r="B74" i="4"/>
  <c r="B74" i="5"/>
  <c r="B74" i="6"/>
  <c r="B74" i="7"/>
  <c r="B74" i="8"/>
  <c r="B74" i="2"/>
  <c r="B83" i="3"/>
  <c r="B85" i="3" s="1"/>
  <c r="B83" i="4"/>
  <c r="B85" i="4" s="1"/>
  <c r="B83" i="5"/>
  <c r="B83" i="6"/>
  <c r="B85" i="6" s="1"/>
  <c r="B83" i="7"/>
  <c r="B85" i="7" s="1"/>
  <c r="B83" i="8"/>
  <c r="B85" i="8" s="1"/>
  <c r="B85" i="5"/>
  <c r="B20" i="9" l="1"/>
  <c r="C20" i="9"/>
  <c r="I20" i="9" s="1"/>
  <c r="D20" i="9"/>
  <c r="E20" i="9"/>
  <c r="F20" i="9"/>
  <c r="G20" i="9"/>
  <c r="H20" i="9"/>
  <c r="B21" i="9"/>
  <c r="C21" i="9"/>
  <c r="D21" i="9"/>
  <c r="E21" i="9"/>
  <c r="F21" i="9"/>
  <c r="G21" i="9"/>
  <c r="H21" i="9"/>
  <c r="B22" i="9"/>
  <c r="I22" i="9" s="1"/>
  <c r="C22" i="9"/>
  <c r="D22" i="9"/>
  <c r="E22" i="9"/>
  <c r="F22" i="9"/>
  <c r="G22" i="9"/>
  <c r="H22" i="9"/>
  <c r="B23" i="9"/>
  <c r="I23" i="9" s="1"/>
  <c r="C23" i="9"/>
  <c r="D23" i="9"/>
  <c r="E23" i="9"/>
  <c r="F23" i="9"/>
  <c r="G23" i="9"/>
  <c r="H23" i="9"/>
  <c r="B24" i="9"/>
  <c r="I24" i="9" s="1"/>
  <c r="C24" i="9"/>
  <c r="D24" i="9"/>
  <c r="E24" i="9"/>
  <c r="F24" i="9"/>
  <c r="G24" i="9"/>
  <c r="H24" i="9"/>
  <c r="B25" i="9"/>
  <c r="C25" i="9"/>
  <c r="D25" i="9"/>
  <c r="E25" i="9"/>
  <c r="F25" i="9"/>
  <c r="G25" i="9"/>
  <c r="H25" i="9"/>
  <c r="B26" i="9"/>
  <c r="C26" i="9"/>
  <c r="D26" i="9"/>
  <c r="E26" i="9"/>
  <c r="F26" i="9"/>
  <c r="G26" i="9"/>
  <c r="H26" i="9"/>
  <c r="I26" i="9"/>
  <c r="B27" i="9"/>
  <c r="C27" i="9"/>
  <c r="D27" i="9"/>
  <c r="E27" i="9"/>
  <c r="F27" i="9"/>
  <c r="G27" i="9"/>
  <c r="H27" i="9"/>
  <c r="I27" i="9"/>
  <c r="B28" i="9"/>
  <c r="C28" i="9"/>
  <c r="D28" i="9"/>
  <c r="E28" i="9"/>
  <c r="I28" i="9" s="1"/>
  <c r="F28" i="9"/>
  <c r="G28" i="9"/>
  <c r="H28" i="9"/>
  <c r="B29" i="9"/>
  <c r="I29" i="9" s="1"/>
  <c r="C29" i="9"/>
  <c r="D29" i="9"/>
  <c r="E29" i="9"/>
  <c r="F29" i="9"/>
  <c r="G29" i="9"/>
  <c r="H29" i="9"/>
  <c r="B8" i="9"/>
  <c r="I8" i="9" s="1"/>
  <c r="C8" i="9"/>
  <c r="D8" i="9"/>
  <c r="E8" i="9"/>
  <c r="F8" i="9"/>
  <c r="G8" i="9"/>
  <c r="H8" i="9"/>
  <c r="B9" i="9"/>
  <c r="C9" i="9"/>
  <c r="D9" i="9"/>
  <c r="E9" i="9"/>
  <c r="F9" i="9"/>
  <c r="G9" i="9"/>
  <c r="H9" i="9"/>
  <c r="B10" i="9"/>
  <c r="C10" i="9"/>
  <c r="I10" i="9" s="1"/>
  <c r="D10" i="9"/>
  <c r="E10" i="9"/>
  <c r="F10" i="9"/>
  <c r="G10" i="9"/>
  <c r="H10" i="9"/>
  <c r="B11" i="9"/>
  <c r="C11" i="9"/>
  <c r="I11" i="9" s="1"/>
  <c r="D11" i="9"/>
  <c r="E11" i="9"/>
  <c r="F11" i="9"/>
  <c r="G11" i="9"/>
  <c r="H11" i="9"/>
  <c r="B12" i="9"/>
  <c r="C12" i="9"/>
  <c r="D12" i="9"/>
  <c r="E12" i="9"/>
  <c r="F12" i="9"/>
  <c r="G12" i="9"/>
  <c r="H12" i="9"/>
  <c r="B13" i="9"/>
  <c r="I13" i="9" s="1"/>
  <c r="C13" i="9"/>
  <c r="D13" i="9"/>
  <c r="E13" i="9"/>
  <c r="F13" i="9"/>
  <c r="G13" i="9"/>
  <c r="H13" i="9"/>
  <c r="B14" i="9"/>
  <c r="I14" i="9" s="1"/>
  <c r="C14" i="9"/>
  <c r="D14" i="9"/>
  <c r="E14" i="9"/>
  <c r="F14" i="9"/>
  <c r="G14" i="9"/>
  <c r="H14" i="9"/>
  <c r="B47" i="9"/>
  <c r="B48" i="9"/>
  <c r="B49" i="9"/>
  <c r="B33" i="9"/>
  <c r="B34" i="9"/>
  <c r="B35" i="9"/>
  <c r="B36" i="9"/>
  <c r="I36" i="9" s="1"/>
  <c r="C34" i="9"/>
  <c r="D34" i="9"/>
  <c r="E34" i="9"/>
  <c r="F34" i="9"/>
  <c r="I34" i="9" s="1"/>
  <c r="G34" i="9"/>
  <c r="H34" i="9"/>
  <c r="C35" i="9"/>
  <c r="D35" i="9"/>
  <c r="E35" i="9"/>
  <c r="F35" i="9"/>
  <c r="G35" i="9"/>
  <c r="H35" i="9"/>
  <c r="C36" i="9"/>
  <c r="D36" i="9"/>
  <c r="E36" i="9"/>
  <c r="F36" i="9"/>
  <c r="G36" i="9"/>
  <c r="H36" i="9"/>
  <c r="B37" i="9"/>
  <c r="C37" i="9"/>
  <c r="D37" i="9"/>
  <c r="E37" i="9"/>
  <c r="F37" i="9"/>
  <c r="G37" i="9"/>
  <c r="H37" i="9"/>
  <c r="B38" i="9"/>
  <c r="C38" i="9"/>
  <c r="D38" i="9"/>
  <c r="E38" i="9"/>
  <c r="F38" i="9"/>
  <c r="G38" i="9"/>
  <c r="H38" i="9"/>
  <c r="B39" i="9"/>
  <c r="I39" i="9" s="1"/>
  <c r="C39" i="9"/>
  <c r="D39" i="9"/>
  <c r="E39" i="9"/>
  <c r="F39" i="9"/>
  <c r="G39" i="9"/>
  <c r="H39" i="9"/>
  <c r="B40" i="9"/>
  <c r="I40" i="9" s="1"/>
  <c r="C40" i="9"/>
  <c r="D40" i="9"/>
  <c r="E40" i="9"/>
  <c r="F40" i="9"/>
  <c r="G40" i="9"/>
  <c r="H40" i="9"/>
  <c r="B41" i="9"/>
  <c r="C41" i="9"/>
  <c r="D41" i="9"/>
  <c r="E41" i="9"/>
  <c r="F41" i="9"/>
  <c r="G41" i="9"/>
  <c r="H41" i="9"/>
  <c r="B42" i="9"/>
  <c r="C42" i="9"/>
  <c r="D42" i="9"/>
  <c r="E42" i="9"/>
  <c r="F42" i="9"/>
  <c r="G42" i="9"/>
  <c r="H42" i="9"/>
  <c r="B5" i="9"/>
  <c r="I5" i="9" s="1"/>
  <c r="C5" i="9"/>
  <c r="D5" i="9"/>
  <c r="E5" i="9"/>
  <c r="F5" i="9"/>
  <c r="G5" i="9"/>
  <c r="H5" i="9"/>
  <c r="B6" i="9"/>
  <c r="C6" i="9"/>
  <c r="D6" i="9"/>
  <c r="E6" i="9"/>
  <c r="F6" i="9"/>
  <c r="G6" i="9"/>
  <c r="H6" i="9"/>
  <c r="B7" i="9"/>
  <c r="C7" i="9"/>
  <c r="D7" i="9"/>
  <c r="E7" i="9"/>
  <c r="F7" i="9"/>
  <c r="G7" i="9"/>
  <c r="H7" i="9"/>
  <c r="A20" i="9"/>
  <c r="A21" i="9"/>
  <c r="A22" i="9"/>
  <c r="A23" i="9"/>
  <c r="A24" i="9"/>
  <c r="A25" i="9"/>
  <c r="A26" i="9"/>
  <c r="A27" i="9"/>
  <c r="A28" i="9"/>
  <c r="A29" i="9"/>
  <c r="A34" i="9"/>
  <c r="A35" i="9"/>
  <c r="A36" i="9"/>
  <c r="A37" i="9"/>
  <c r="A38" i="9"/>
  <c r="A39" i="9"/>
  <c r="A40" i="9"/>
  <c r="A41" i="9"/>
  <c r="A42" i="9"/>
  <c r="A43" i="9"/>
  <c r="A7" i="9"/>
  <c r="A5" i="9"/>
  <c r="A6" i="9"/>
  <c r="A8" i="9"/>
  <c r="A9" i="9"/>
  <c r="A10" i="9"/>
  <c r="A11" i="9"/>
  <c r="A12" i="9"/>
  <c r="A13" i="9"/>
  <c r="A14" i="9"/>
  <c r="I7" i="9" l="1"/>
  <c r="I38" i="9"/>
  <c r="I12" i="9"/>
  <c r="I25" i="9"/>
  <c r="I21" i="9"/>
  <c r="I42" i="9"/>
  <c r="I41" i="9"/>
  <c r="I6" i="9"/>
  <c r="I37" i="9"/>
  <c r="I35" i="9"/>
  <c r="I9" i="9"/>
  <c r="B76" i="9"/>
  <c r="C76" i="9"/>
  <c r="D76" i="9"/>
  <c r="E76" i="9"/>
  <c r="F76" i="9"/>
  <c r="G76" i="9"/>
  <c r="H76" i="9"/>
  <c r="A76" i="9"/>
  <c r="C48" i="9"/>
  <c r="D48" i="9"/>
  <c r="E48" i="9"/>
  <c r="F48" i="9"/>
  <c r="G48" i="9"/>
  <c r="H48" i="9"/>
  <c r="C49" i="9"/>
  <c r="D49" i="9"/>
  <c r="E49" i="9"/>
  <c r="F49" i="9"/>
  <c r="G49" i="9"/>
  <c r="H49" i="9"/>
  <c r="B50" i="9"/>
  <c r="C50" i="9"/>
  <c r="D50" i="9"/>
  <c r="E50" i="9"/>
  <c r="F50" i="9"/>
  <c r="G50" i="9"/>
  <c r="H50" i="9"/>
  <c r="B51" i="9"/>
  <c r="C51" i="9"/>
  <c r="D51" i="9"/>
  <c r="E51" i="9"/>
  <c r="F51" i="9"/>
  <c r="G51" i="9"/>
  <c r="H51" i="9"/>
  <c r="B52" i="9"/>
  <c r="C52" i="9"/>
  <c r="D52" i="9"/>
  <c r="E52" i="9"/>
  <c r="F52" i="9"/>
  <c r="G52" i="9"/>
  <c r="H52" i="9"/>
  <c r="B53" i="9"/>
  <c r="C53" i="9"/>
  <c r="D53" i="9"/>
  <c r="E53" i="9"/>
  <c r="F53" i="9"/>
  <c r="G53" i="9"/>
  <c r="H53" i="9"/>
  <c r="B54" i="9"/>
  <c r="C54" i="9"/>
  <c r="D54" i="9"/>
  <c r="E54" i="9"/>
  <c r="F54" i="9"/>
  <c r="G54" i="9"/>
  <c r="H54" i="9"/>
  <c r="B43" i="9"/>
  <c r="C43" i="9"/>
  <c r="D43" i="9"/>
  <c r="E43" i="9"/>
  <c r="F43" i="9"/>
  <c r="G43" i="9"/>
  <c r="H43" i="9"/>
  <c r="B19" i="9"/>
  <c r="B48" i="4"/>
  <c r="B48" i="5"/>
  <c r="B48" i="6"/>
  <c r="B48" i="7"/>
  <c r="B48" i="8"/>
  <c r="B48" i="3"/>
  <c r="B34" i="4"/>
  <c r="B34" i="5"/>
  <c r="B34" i="6"/>
  <c r="B34" i="7"/>
  <c r="B34" i="8"/>
  <c r="B34" i="3"/>
  <c r="B19" i="4"/>
  <c r="B19" i="5"/>
  <c r="B19" i="6"/>
  <c r="B19" i="7"/>
  <c r="B19" i="8"/>
  <c r="B19" i="3"/>
  <c r="B48" i="2"/>
  <c r="B34" i="2"/>
  <c r="B19" i="2"/>
  <c r="I51" i="9" l="1"/>
  <c r="I76" i="9"/>
  <c r="I43" i="9"/>
  <c r="I52" i="9"/>
  <c r="I48" i="9"/>
  <c r="I53" i="9"/>
  <c r="I49" i="9"/>
  <c r="I54" i="9"/>
  <c r="I50" i="9"/>
  <c r="H30" i="9"/>
  <c r="G44" i="9"/>
  <c r="G30" i="9"/>
  <c r="G15" i="9"/>
  <c r="B77" i="6"/>
  <c r="B20" i="6"/>
  <c r="F16" i="9" s="1"/>
  <c r="E15" i="9"/>
  <c r="D30" i="9"/>
  <c r="C30" i="9"/>
  <c r="B20" i="3"/>
  <c r="C16" i="9" s="1"/>
  <c r="B30" i="9"/>
  <c r="B20" i="2"/>
  <c r="B16" i="9" s="1"/>
  <c r="G103" i="9"/>
  <c r="C103" i="9"/>
  <c r="A103" i="9"/>
  <c r="H102" i="9"/>
  <c r="G102" i="9"/>
  <c r="F102" i="9"/>
  <c r="E102" i="9"/>
  <c r="D102" i="9"/>
  <c r="C102" i="9"/>
  <c r="B102" i="9"/>
  <c r="A102" i="9"/>
  <c r="H101" i="9"/>
  <c r="G101" i="9"/>
  <c r="F101" i="9"/>
  <c r="E101" i="9"/>
  <c r="D101" i="9"/>
  <c r="C101" i="9"/>
  <c r="B101" i="9"/>
  <c r="A101" i="9"/>
  <c r="H100" i="9"/>
  <c r="G100" i="9"/>
  <c r="F100" i="9"/>
  <c r="E100" i="9"/>
  <c r="D100" i="9"/>
  <c r="C100" i="9"/>
  <c r="B100" i="9"/>
  <c r="A100" i="9"/>
  <c r="H99" i="9"/>
  <c r="G99" i="9"/>
  <c r="F99" i="9"/>
  <c r="E99" i="9"/>
  <c r="D99" i="9"/>
  <c r="C99" i="9"/>
  <c r="B99" i="9"/>
  <c r="A99" i="9"/>
  <c r="H98" i="9"/>
  <c r="G98" i="9"/>
  <c r="F98" i="9"/>
  <c r="E98" i="9"/>
  <c r="D98" i="9"/>
  <c r="C98" i="9"/>
  <c r="B98" i="9"/>
  <c r="A98" i="9"/>
  <c r="H97" i="9"/>
  <c r="G97" i="9"/>
  <c r="F97" i="9"/>
  <c r="E97" i="9"/>
  <c r="D97" i="9"/>
  <c r="C97" i="9"/>
  <c r="B97" i="9"/>
  <c r="A97" i="9"/>
  <c r="H96" i="9"/>
  <c r="G96" i="9"/>
  <c r="F96" i="9"/>
  <c r="E96" i="9"/>
  <c r="D96" i="9"/>
  <c r="C96" i="9"/>
  <c r="B96" i="9"/>
  <c r="A96" i="9"/>
  <c r="H95" i="9"/>
  <c r="G95" i="9"/>
  <c r="F95" i="9"/>
  <c r="E95" i="9"/>
  <c r="D95" i="9"/>
  <c r="C95" i="9"/>
  <c r="B95" i="9"/>
  <c r="A95" i="9"/>
  <c r="H94" i="9"/>
  <c r="G94" i="9"/>
  <c r="F94" i="9"/>
  <c r="E94" i="9"/>
  <c r="D94" i="9"/>
  <c r="C94" i="9"/>
  <c r="B94" i="9"/>
  <c r="A94" i="9"/>
  <c r="H93" i="9"/>
  <c r="G93" i="9"/>
  <c r="F93" i="9"/>
  <c r="E93" i="9"/>
  <c r="D93" i="9"/>
  <c r="C93" i="9"/>
  <c r="B93" i="9"/>
  <c r="A93" i="9"/>
  <c r="A92" i="9"/>
  <c r="H90" i="9"/>
  <c r="G90" i="9"/>
  <c r="F90" i="9"/>
  <c r="E90" i="9"/>
  <c r="D90" i="9"/>
  <c r="C90" i="9"/>
  <c r="B90" i="9"/>
  <c r="A90" i="9"/>
  <c r="H89" i="9"/>
  <c r="G89" i="9"/>
  <c r="F89" i="9"/>
  <c r="E89" i="9"/>
  <c r="D89" i="9"/>
  <c r="C89" i="9"/>
  <c r="B89" i="9"/>
  <c r="A89" i="9"/>
  <c r="H88" i="9"/>
  <c r="G88" i="9"/>
  <c r="F88" i="9"/>
  <c r="E88" i="9"/>
  <c r="D88" i="9"/>
  <c r="C88" i="9"/>
  <c r="B88" i="9"/>
  <c r="A88" i="9"/>
  <c r="H87" i="9"/>
  <c r="G87" i="9"/>
  <c r="F87" i="9"/>
  <c r="E87" i="9"/>
  <c r="D87" i="9"/>
  <c r="C87" i="9"/>
  <c r="B87" i="9"/>
  <c r="A87" i="9"/>
  <c r="H86" i="9"/>
  <c r="G86" i="9"/>
  <c r="F86" i="9"/>
  <c r="E86" i="9"/>
  <c r="D86" i="9"/>
  <c r="C86" i="9"/>
  <c r="B86" i="9"/>
  <c r="A86" i="9"/>
  <c r="I85" i="9"/>
  <c r="F85" i="9"/>
  <c r="B85" i="9"/>
  <c r="A85" i="9"/>
  <c r="A82" i="9"/>
  <c r="A79" i="9"/>
  <c r="A78" i="9"/>
  <c r="A77" i="9"/>
  <c r="H75" i="9"/>
  <c r="G75" i="9"/>
  <c r="F75" i="9"/>
  <c r="E75" i="9"/>
  <c r="D75" i="9"/>
  <c r="C75" i="9"/>
  <c r="B75" i="9"/>
  <c r="A75" i="9"/>
  <c r="H74" i="9"/>
  <c r="G74" i="9"/>
  <c r="F74" i="9"/>
  <c r="E74" i="9"/>
  <c r="D74" i="9"/>
  <c r="C74" i="9"/>
  <c r="B74" i="9"/>
  <c r="A74" i="9"/>
  <c r="A73" i="9"/>
  <c r="H71" i="9"/>
  <c r="D71" i="9"/>
  <c r="A71" i="9"/>
  <c r="H69" i="9"/>
  <c r="G69" i="9"/>
  <c r="F69" i="9"/>
  <c r="E69" i="9"/>
  <c r="D69" i="9"/>
  <c r="C69" i="9"/>
  <c r="B69" i="9"/>
  <c r="A69" i="9"/>
  <c r="H68" i="9"/>
  <c r="G68" i="9"/>
  <c r="F68" i="9"/>
  <c r="E68" i="9"/>
  <c r="D68" i="9"/>
  <c r="C68" i="9"/>
  <c r="B68" i="9"/>
  <c r="A68" i="9"/>
  <c r="H67" i="9"/>
  <c r="G67" i="9"/>
  <c r="F67" i="9"/>
  <c r="E67" i="9"/>
  <c r="D67" i="9"/>
  <c r="C67" i="9"/>
  <c r="B67" i="9"/>
  <c r="A67" i="9"/>
  <c r="H66" i="9"/>
  <c r="G66" i="9"/>
  <c r="F66" i="9"/>
  <c r="E66" i="9"/>
  <c r="D66" i="9"/>
  <c r="C66" i="9"/>
  <c r="B66" i="9"/>
  <c r="A66" i="9"/>
  <c r="H65" i="9"/>
  <c r="G65" i="9"/>
  <c r="F65" i="9"/>
  <c r="E65" i="9"/>
  <c r="D65" i="9"/>
  <c r="C65" i="9"/>
  <c r="B65" i="9"/>
  <c r="A65" i="9"/>
  <c r="H64" i="9"/>
  <c r="G64" i="9"/>
  <c r="F64" i="9"/>
  <c r="E64" i="9"/>
  <c r="D64" i="9"/>
  <c r="C64" i="9"/>
  <c r="B64" i="9"/>
  <c r="A64" i="9"/>
  <c r="I63" i="9"/>
  <c r="G63" i="9"/>
  <c r="C63" i="9"/>
  <c r="A63" i="9"/>
  <c r="F61" i="9"/>
  <c r="A61" i="9"/>
  <c r="H60" i="9"/>
  <c r="G60" i="9"/>
  <c r="F60" i="9"/>
  <c r="E60" i="9"/>
  <c r="D60" i="9"/>
  <c r="C60" i="9"/>
  <c r="B60" i="9"/>
  <c r="A60" i="9"/>
  <c r="H59" i="9"/>
  <c r="G59" i="9"/>
  <c r="F59" i="9"/>
  <c r="E59" i="9"/>
  <c r="D59" i="9"/>
  <c r="C59" i="9"/>
  <c r="B59" i="9"/>
  <c r="H58" i="9"/>
  <c r="G58" i="9"/>
  <c r="F58" i="9"/>
  <c r="E58" i="9"/>
  <c r="D58" i="9"/>
  <c r="C58" i="9"/>
  <c r="B58" i="9"/>
  <c r="A58" i="9"/>
  <c r="I57" i="9"/>
  <c r="E57" i="9"/>
  <c r="A57" i="9"/>
  <c r="H55" i="9"/>
  <c r="D55" i="9"/>
  <c r="A55" i="9"/>
  <c r="A54" i="9"/>
  <c r="A53" i="9"/>
  <c r="A52" i="9"/>
  <c r="A51" i="9"/>
  <c r="A50" i="9"/>
  <c r="A49" i="9"/>
  <c r="A48" i="9"/>
  <c r="H47" i="9"/>
  <c r="G47" i="9"/>
  <c r="F47" i="9"/>
  <c r="E47" i="9"/>
  <c r="D47" i="9"/>
  <c r="C47" i="9"/>
  <c r="A47" i="9"/>
  <c r="I46" i="9"/>
  <c r="G46" i="9"/>
  <c r="C46" i="9"/>
  <c r="A46" i="9"/>
  <c r="F44" i="9"/>
  <c r="B44" i="9"/>
  <c r="A44" i="9"/>
  <c r="H33" i="9"/>
  <c r="G33" i="9"/>
  <c r="F33" i="9"/>
  <c r="E33" i="9"/>
  <c r="D33" i="9"/>
  <c r="C33" i="9"/>
  <c r="A33" i="9"/>
  <c r="I32" i="9"/>
  <c r="E32" i="9"/>
  <c r="A32" i="9"/>
  <c r="A30" i="9"/>
  <c r="H19" i="9"/>
  <c r="G19" i="9"/>
  <c r="F19" i="9"/>
  <c r="E19" i="9"/>
  <c r="D19" i="9"/>
  <c r="C19" i="9"/>
  <c r="A19" i="9"/>
  <c r="I18" i="9"/>
  <c r="G18" i="9"/>
  <c r="C18" i="9"/>
  <c r="A18" i="9"/>
  <c r="A15" i="9"/>
  <c r="H4" i="9"/>
  <c r="G4" i="9"/>
  <c r="F4" i="9"/>
  <c r="E4" i="9"/>
  <c r="D4" i="9"/>
  <c r="C4" i="9"/>
  <c r="B4" i="9"/>
  <c r="A4" i="9"/>
  <c r="H3" i="9"/>
  <c r="G3" i="9"/>
  <c r="F3" i="9"/>
  <c r="E3" i="9"/>
  <c r="D3" i="9"/>
  <c r="C3" i="9"/>
  <c r="B3" i="9"/>
  <c r="A3" i="9"/>
  <c r="B106" i="8"/>
  <c r="H103" i="9" s="1"/>
  <c r="B88" i="8"/>
  <c r="H85" i="9" s="1"/>
  <c r="B82" i="8"/>
  <c r="H78" i="9" s="1"/>
  <c r="B77" i="8"/>
  <c r="B67" i="8"/>
  <c r="H63" i="9" s="1"/>
  <c r="B65" i="8"/>
  <c r="B81" i="8" s="1"/>
  <c r="H77" i="9" s="1"/>
  <c r="B61" i="8"/>
  <c r="H57" i="9" s="1"/>
  <c r="B59" i="8"/>
  <c r="B50" i="8"/>
  <c r="H46" i="9" s="1"/>
  <c r="H44" i="9"/>
  <c r="B36" i="8"/>
  <c r="H32" i="9" s="1"/>
  <c r="B22" i="8"/>
  <c r="H18" i="9" s="1"/>
  <c r="H15" i="9"/>
  <c r="B106" i="7"/>
  <c r="B88" i="7"/>
  <c r="G85" i="9" s="1"/>
  <c r="G71" i="9"/>
  <c r="B67" i="7"/>
  <c r="B65" i="7"/>
  <c r="G61" i="9" s="1"/>
  <c r="B61" i="7"/>
  <c r="G57" i="9" s="1"/>
  <c r="B59" i="7"/>
  <c r="B50" i="7"/>
  <c r="B36" i="7"/>
  <c r="G32" i="9" s="1"/>
  <c r="B22" i="7"/>
  <c r="B106" i="6"/>
  <c r="F103" i="9" s="1"/>
  <c r="B88" i="6"/>
  <c r="F71" i="9"/>
  <c r="B67" i="6"/>
  <c r="F63" i="9" s="1"/>
  <c r="B65" i="6"/>
  <c r="B81" i="6" s="1"/>
  <c r="F77" i="9" s="1"/>
  <c r="B61" i="6"/>
  <c r="F57" i="9" s="1"/>
  <c r="B59" i="6"/>
  <c r="B82" i="6" s="1"/>
  <c r="F78" i="9" s="1"/>
  <c r="B50" i="6"/>
  <c r="F46" i="9" s="1"/>
  <c r="B36" i="6"/>
  <c r="F32" i="9" s="1"/>
  <c r="B22" i="6"/>
  <c r="F18" i="9" s="1"/>
  <c r="B106" i="5"/>
  <c r="E103" i="9" s="1"/>
  <c r="B88" i="5"/>
  <c r="E85" i="9" s="1"/>
  <c r="B82" i="5"/>
  <c r="E78" i="9" s="1"/>
  <c r="E71" i="9"/>
  <c r="B67" i="5"/>
  <c r="E63" i="9" s="1"/>
  <c r="B65" i="5"/>
  <c r="B81" i="5" s="1"/>
  <c r="E77" i="9" s="1"/>
  <c r="B61" i="5"/>
  <c r="B59" i="5"/>
  <c r="E55" i="9" s="1"/>
  <c r="B50" i="5"/>
  <c r="E46" i="9" s="1"/>
  <c r="E44" i="9"/>
  <c r="B36" i="5"/>
  <c r="B77" i="5"/>
  <c r="E73" i="9" s="1"/>
  <c r="B22" i="5"/>
  <c r="E18" i="9" s="1"/>
  <c r="B106" i="4"/>
  <c r="D103" i="9" s="1"/>
  <c r="B88" i="4"/>
  <c r="D85" i="9" s="1"/>
  <c r="B82" i="4"/>
  <c r="D78" i="9" s="1"/>
  <c r="B77" i="4"/>
  <c r="B67" i="4"/>
  <c r="D63" i="9" s="1"/>
  <c r="B65" i="4"/>
  <c r="D61" i="9" s="1"/>
  <c r="B61" i="4"/>
  <c r="D57" i="9" s="1"/>
  <c r="B59" i="4"/>
  <c r="B50" i="4"/>
  <c r="D46" i="9" s="1"/>
  <c r="D44" i="9"/>
  <c r="B36" i="4"/>
  <c r="D32" i="9" s="1"/>
  <c r="B22" i="4"/>
  <c r="D18" i="9" s="1"/>
  <c r="D15" i="9"/>
  <c r="B106" i="3"/>
  <c r="B88" i="3"/>
  <c r="C85" i="9" s="1"/>
  <c r="C71" i="9"/>
  <c r="B67" i="3"/>
  <c r="B65" i="3"/>
  <c r="C61" i="9" s="1"/>
  <c r="B61" i="3"/>
  <c r="C57" i="9" s="1"/>
  <c r="B59" i="3"/>
  <c r="B50" i="3"/>
  <c r="C44" i="9"/>
  <c r="B36" i="3"/>
  <c r="C32" i="9" s="1"/>
  <c r="B22" i="3"/>
  <c r="B106" i="2"/>
  <c r="B103" i="9" s="1"/>
  <c r="B88" i="2"/>
  <c r="B67" i="2"/>
  <c r="B63" i="9" s="1"/>
  <c r="B65" i="2"/>
  <c r="B81" i="2" s="1"/>
  <c r="B61" i="2"/>
  <c r="B57" i="9" s="1"/>
  <c r="B59" i="2"/>
  <c r="B55" i="9" s="1"/>
  <c r="B50" i="2"/>
  <c r="B46" i="9" s="1"/>
  <c r="B36" i="2"/>
  <c r="B32" i="9" s="1"/>
  <c r="B22" i="2"/>
  <c r="B18" i="9" s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Q50" i="1"/>
  <c r="Q70" i="1" s="1"/>
  <c r="P50" i="1"/>
  <c r="P70" i="1" s="1"/>
  <c r="O50" i="1"/>
  <c r="O70" i="1" s="1"/>
  <c r="N50" i="1"/>
  <c r="N70" i="1" s="1"/>
  <c r="M50" i="1"/>
  <c r="M70" i="1" s="1"/>
  <c r="L50" i="1"/>
  <c r="L70" i="1" s="1"/>
  <c r="K50" i="1"/>
  <c r="K70" i="1" s="1"/>
  <c r="J50" i="1"/>
  <c r="J70" i="1" s="1"/>
  <c r="I50" i="1"/>
  <c r="I70" i="1" s="1"/>
  <c r="H50" i="1"/>
  <c r="H70" i="1" s="1"/>
  <c r="G50" i="1"/>
  <c r="G70" i="1" s="1"/>
  <c r="F50" i="1"/>
  <c r="F70" i="1" s="1"/>
  <c r="E50" i="1"/>
  <c r="E70" i="1" s="1"/>
  <c r="D50" i="1"/>
  <c r="D70" i="1" s="1"/>
  <c r="C50" i="1"/>
  <c r="C70" i="1" s="1"/>
  <c r="B50" i="1"/>
  <c r="B70" i="1" s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Q27" i="1"/>
  <c r="Q67" i="1" s="1"/>
  <c r="Q71" i="1" s="1"/>
  <c r="Q73" i="1" s="1"/>
  <c r="P27" i="1"/>
  <c r="P67" i="1" s="1"/>
  <c r="P71" i="1" s="1"/>
  <c r="P73" i="1" s="1"/>
  <c r="O27" i="1"/>
  <c r="O67" i="1" s="1"/>
  <c r="O71" i="1" s="1"/>
  <c r="O73" i="1" s="1"/>
  <c r="N27" i="1"/>
  <c r="N67" i="1" s="1"/>
  <c r="N71" i="1" s="1"/>
  <c r="N73" i="1" s="1"/>
  <c r="M27" i="1"/>
  <c r="M67" i="1" s="1"/>
  <c r="M71" i="1" s="1"/>
  <c r="M73" i="1" s="1"/>
  <c r="L27" i="1"/>
  <c r="L67" i="1" s="1"/>
  <c r="L71" i="1" s="1"/>
  <c r="L73" i="1" s="1"/>
  <c r="K27" i="1"/>
  <c r="K67" i="1" s="1"/>
  <c r="K71" i="1" s="1"/>
  <c r="K73" i="1" s="1"/>
  <c r="J27" i="1"/>
  <c r="J67" i="1" s="1"/>
  <c r="J71" i="1" s="1"/>
  <c r="J73" i="1" s="1"/>
  <c r="I27" i="1"/>
  <c r="I67" i="1" s="1"/>
  <c r="I71" i="1" s="1"/>
  <c r="I73" i="1" s="1"/>
  <c r="H27" i="1"/>
  <c r="H67" i="1" s="1"/>
  <c r="H71" i="1" s="1"/>
  <c r="H73" i="1" s="1"/>
  <c r="G27" i="1"/>
  <c r="G67" i="1" s="1"/>
  <c r="G71" i="1" s="1"/>
  <c r="G73" i="1" s="1"/>
  <c r="F27" i="1"/>
  <c r="F67" i="1" s="1"/>
  <c r="F71" i="1" s="1"/>
  <c r="F73" i="1" s="1"/>
  <c r="E27" i="1"/>
  <c r="E67" i="1" s="1"/>
  <c r="E71" i="1" s="1"/>
  <c r="E73" i="1" s="1"/>
  <c r="D27" i="1"/>
  <c r="D67" i="1" s="1"/>
  <c r="D71" i="1" s="1"/>
  <c r="D73" i="1" s="1"/>
  <c r="C27" i="1"/>
  <c r="C67" i="1" s="1"/>
  <c r="C71" i="1" s="1"/>
  <c r="C73" i="1" s="1"/>
  <c r="B27" i="1"/>
  <c r="B67" i="1" s="1"/>
  <c r="B71" i="1" s="1"/>
  <c r="B73" i="1" s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D4" i="1"/>
  <c r="C4" i="1"/>
  <c r="B61" i="9" l="1"/>
  <c r="B77" i="9"/>
  <c r="B71" i="9"/>
  <c r="I68" i="9"/>
  <c r="I88" i="9"/>
  <c r="I66" i="9"/>
  <c r="I69" i="9"/>
  <c r="I74" i="9"/>
  <c r="I75" i="9"/>
  <c r="I87" i="9"/>
  <c r="I33" i="9"/>
  <c r="I60" i="9"/>
  <c r="I67" i="9"/>
  <c r="I86" i="9"/>
  <c r="I90" i="9"/>
  <c r="I93" i="9"/>
  <c r="I96" i="9"/>
  <c r="I97" i="9"/>
  <c r="I98" i="9"/>
  <c r="I100" i="9"/>
  <c r="I101" i="9"/>
  <c r="I102" i="9"/>
  <c r="I89" i="9"/>
  <c r="I95" i="9"/>
  <c r="I99" i="9"/>
  <c r="I4" i="9"/>
  <c r="I47" i="9"/>
  <c r="I65" i="9"/>
  <c r="I94" i="9"/>
  <c r="B20" i="5"/>
  <c r="E16" i="9" s="1"/>
  <c r="F73" i="9"/>
  <c r="B77" i="2"/>
  <c r="B77" i="7"/>
  <c r="C15" i="9"/>
  <c r="E30" i="9"/>
  <c r="E61" i="9"/>
  <c r="I64" i="9"/>
  <c r="D73" i="9"/>
  <c r="B82" i="2"/>
  <c r="B78" i="9" s="1"/>
  <c r="C55" i="9"/>
  <c r="B82" i="3"/>
  <c r="C78" i="9" s="1"/>
  <c r="B20" i="4"/>
  <c r="D16" i="9" s="1"/>
  <c r="B81" i="4"/>
  <c r="D77" i="9" s="1"/>
  <c r="B20" i="7"/>
  <c r="G16" i="9" s="1"/>
  <c r="B81" i="7"/>
  <c r="G77" i="9" s="1"/>
  <c r="F30" i="9"/>
  <c r="I59" i="9"/>
  <c r="B77" i="3"/>
  <c r="F15" i="9"/>
  <c r="F55" i="9"/>
  <c r="H61" i="9"/>
  <c r="B81" i="3"/>
  <c r="C77" i="9" s="1"/>
  <c r="G55" i="9"/>
  <c r="B82" i="7"/>
  <c r="G78" i="9" s="1"/>
  <c r="B20" i="8"/>
  <c r="H16" i="9" s="1"/>
  <c r="B15" i="9"/>
  <c r="H73" i="9"/>
  <c r="B83" i="2" l="1"/>
  <c r="B85" i="2" s="1"/>
  <c r="I55" i="9"/>
  <c r="I71" i="9"/>
  <c r="I61" i="9"/>
  <c r="I77" i="9"/>
  <c r="I44" i="9"/>
  <c r="I103" i="9"/>
  <c r="I16" i="9"/>
  <c r="A16" i="9" s="1"/>
  <c r="I19" i="9" s="1"/>
  <c r="I30" i="9" s="1"/>
  <c r="I15" i="9"/>
  <c r="C73" i="9"/>
  <c r="G73" i="9"/>
  <c r="E79" i="9"/>
  <c r="E82" i="9"/>
  <c r="F82" i="9"/>
  <c r="F79" i="9"/>
  <c r="I78" i="9"/>
  <c r="H79" i="9"/>
  <c r="H82" i="9"/>
  <c r="B73" i="9"/>
  <c r="G82" i="9" l="1"/>
  <c r="G79" i="9"/>
  <c r="C79" i="9"/>
  <c r="C82" i="9"/>
  <c r="B82" i="9"/>
  <c r="B79" i="9"/>
  <c r="D79" i="9"/>
  <c r="D82" i="9"/>
  <c r="I73" i="9"/>
  <c r="I79" i="9" s="1"/>
  <c r="I82" i="9" l="1"/>
</calcChain>
</file>

<file path=xl/sharedStrings.xml><?xml version="1.0" encoding="utf-8"?>
<sst xmlns="http://schemas.openxmlformats.org/spreadsheetml/2006/main" count="468" uniqueCount="73">
  <si>
    <t>Cash Up Sheet</t>
  </si>
  <si>
    <t>TILL FLOAT</t>
  </si>
  <si>
    <t>Total</t>
  </si>
  <si>
    <t>TAKINGS</t>
  </si>
  <si>
    <t xml:space="preserve">SAFE </t>
  </si>
  <si>
    <t>RECEIPTS (Dockets Attached)</t>
  </si>
  <si>
    <t>Receipt 1</t>
  </si>
  <si>
    <t>Receipt 2</t>
  </si>
  <si>
    <t>Receipt 3</t>
  </si>
  <si>
    <t>Receipt 4</t>
  </si>
  <si>
    <t>Receipt 5</t>
  </si>
  <si>
    <t>Receipt 6</t>
  </si>
  <si>
    <t>Receipt 7</t>
  </si>
  <si>
    <t>Receipt 8</t>
  </si>
  <si>
    <t>ACCOUNTS</t>
  </si>
  <si>
    <t>Studio</t>
  </si>
  <si>
    <t>House Account</t>
  </si>
  <si>
    <t>Gift Cards</t>
  </si>
  <si>
    <t>SALES</t>
  </si>
  <si>
    <t>Coffee</t>
  </si>
  <si>
    <t>Food</t>
  </si>
  <si>
    <t>Soft Drinks</t>
  </si>
  <si>
    <t>Alcohol</t>
  </si>
  <si>
    <t>Retail</t>
  </si>
  <si>
    <t>Room Hire</t>
  </si>
  <si>
    <t>Cash Banked</t>
  </si>
  <si>
    <t>Z Read</t>
  </si>
  <si>
    <t>Accounts</t>
  </si>
  <si>
    <t>Receipts</t>
  </si>
  <si>
    <t>TOTAL</t>
  </si>
  <si>
    <t>Variance</t>
  </si>
  <si>
    <t>TOTAL SALES</t>
  </si>
  <si>
    <t>TOTAL NET FOOD SALES</t>
  </si>
  <si>
    <t>TOTAL NET BEV SALES</t>
  </si>
  <si>
    <t>BANKED MONEY</t>
  </si>
  <si>
    <t>Cash Bag Number</t>
  </si>
  <si>
    <t>Cash Paying In Slip</t>
  </si>
  <si>
    <t>HSBC Receipt No</t>
  </si>
  <si>
    <t>Banking Manager</t>
  </si>
  <si>
    <t>Date</t>
  </si>
  <si>
    <t>MONDAY</t>
  </si>
  <si>
    <t>TILL VARIANCE Should be 0!</t>
  </si>
  <si>
    <t>Studio Account Name</t>
  </si>
  <si>
    <t>Amount</t>
  </si>
  <si>
    <t>…</t>
  </si>
  <si>
    <t>Z Read 1</t>
  </si>
  <si>
    <t>Z Read 2</t>
  </si>
  <si>
    <t>Closing Supervisor</t>
  </si>
  <si>
    <t>DISCOUNTS/COMPS</t>
  </si>
  <si>
    <t>Comp 1</t>
  </si>
  <si>
    <t>Comp 2</t>
  </si>
  <si>
    <t>Comp 3</t>
  </si>
  <si>
    <t>Comp 4</t>
  </si>
  <si>
    <t>Comp 5</t>
  </si>
  <si>
    <t>Comp 6</t>
  </si>
  <si>
    <t>Comp 7</t>
  </si>
  <si>
    <t>Comp 8</t>
  </si>
  <si>
    <t>Comp 9</t>
  </si>
  <si>
    <t>Comp 10</t>
  </si>
  <si>
    <t>Total Comps</t>
  </si>
  <si>
    <t>TUESDAY</t>
  </si>
  <si>
    <t>WEDNESDAY</t>
  </si>
  <si>
    <t>THURSDAY</t>
  </si>
  <si>
    <t>FRIDAY</t>
  </si>
  <si>
    <t>SATURDAY</t>
  </si>
  <si>
    <t>SUNDAY</t>
  </si>
  <si>
    <t>TILL FLOAT (No. of coins/notes)</t>
  </si>
  <si>
    <t>TAKINGS (No. of coins/notes)</t>
  </si>
  <si>
    <t>SAFE (No. of coins/notes)</t>
  </si>
  <si>
    <t>RECEIPTS Amount (Dockets Attached)</t>
  </si>
  <si>
    <t>COMMENTS</t>
  </si>
  <si>
    <t>Z Read 3</t>
  </si>
  <si>
    <t>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</si>
</sst>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8" x14ac:knownFonts="1">
    <font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</font>
    <font>
      <sz val="12"/>
      <color rgb="FF00000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/>
      <diagonal/>
    </border>
    <border>
      <left style="thin">
        <color rgb="FFAAAAAA"/>
      </left>
      <right style="thin">
        <color rgb="FFAAAAAA"/>
      </right>
      <top style="thin">
        <color rgb="FF000000"/>
      </top>
      <bottom/>
      <diagonal/>
    </border>
    <border>
      <left style="thin">
        <color rgb="FFAAAAAA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000000"/>
      </right>
      <top/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000000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rgb="FFAAAAAA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89">
    <xf numFmtId="0" fontId="0" fillId="0" borderId="0" xfId="0"/>
    <xf numFmtId="0" fontId="1" fillId="0" borderId="1" xfId="0" applyNumberFormat="1" applyFont="1" applyBorder="1" applyAlignment="1"/>
    <xf numFmtId="0" fontId="2" fillId="0" borderId="1" xfId="0" applyNumberFormat="1" applyFont="1" applyBorder="1" applyAlignment="1"/>
    <xf numFmtId="14" fontId="1" fillId="0" borderId="1" xfId="0" applyNumberFormat="1" applyFont="1" applyBorder="1" applyAlignment="1"/>
    <xf numFmtId="14" fontId="2" fillId="0" borderId="1" xfId="0" applyNumberFormat="1" applyFont="1" applyBorder="1" applyAlignment="1"/>
    <xf numFmtId="0" fontId="2" fillId="0" borderId="2" xfId="0" applyNumberFormat="1" applyFont="1" applyBorder="1" applyAlignment="1"/>
    <xf numFmtId="0" fontId="2" fillId="0" borderId="3" xfId="0" applyNumberFormat="1" applyFont="1" applyBorder="1" applyAlignment="1">
      <alignment horizontal="right"/>
    </xf>
    <xf numFmtId="1" fontId="2" fillId="2" borderId="4" xfId="0" applyNumberFormat="1" applyFont="1" applyFill="1" applyBorder="1" applyAlignment="1"/>
    <xf numFmtId="1" fontId="2" fillId="2" borderId="5" xfId="0" applyNumberFormat="1" applyFont="1" applyFill="1" applyBorder="1" applyAlignment="1"/>
    <xf numFmtId="1" fontId="2" fillId="2" borderId="6" xfId="0" applyNumberFormat="1" applyFont="1" applyFill="1" applyBorder="1" applyAlignment="1"/>
    <xf numFmtId="0" fontId="2" fillId="0" borderId="7" xfId="0" applyNumberFormat="1" applyFont="1" applyBorder="1" applyAlignment="1"/>
    <xf numFmtId="1" fontId="2" fillId="2" borderId="8" xfId="0" applyNumberFormat="1" applyFont="1" applyFill="1" applyBorder="1" applyAlignment="1"/>
    <xf numFmtId="1" fontId="2" fillId="2" borderId="9" xfId="0" applyNumberFormat="1" applyFont="1" applyFill="1" applyBorder="1" applyAlignment="1"/>
    <xf numFmtId="1" fontId="2" fillId="2" borderId="10" xfId="0" applyNumberFormat="1" applyFont="1" applyFill="1" applyBorder="1" applyAlignment="1"/>
    <xf numFmtId="2" fontId="2" fillId="0" borderId="3" xfId="0" applyNumberFormat="1" applyFont="1" applyBorder="1" applyAlignment="1">
      <alignment horizontal="right"/>
    </xf>
    <xf numFmtId="1" fontId="2" fillId="2" borderId="11" xfId="0" applyNumberFormat="1" applyFont="1" applyFill="1" applyBorder="1" applyAlignment="1"/>
    <xf numFmtId="1" fontId="2" fillId="2" borderId="12" xfId="0" applyNumberFormat="1" applyFont="1" applyFill="1" applyBorder="1" applyAlignment="1"/>
    <xf numFmtId="1" fontId="2" fillId="2" borderId="13" xfId="0" applyNumberFormat="1" applyFont="1" applyFill="1" applyBorder="1" applyAlignment="1"/>
    <xf numFmtId="0" fontId="2" fillId="0" borderId="3" xfId="0" applyNumberFormat="1" applyFont="1" applyBorder="1" applyAlignment="1"/>
    <xf numFmtId="0" fontId="2" fillId="0" borderId="14" xfId="0" applyNumberFormat="1" applyFont="1" applyBorder="1" applyAlignment="1">
      <alignment horizontal="right"/>
    </xf>
    <xf numFmtId="0" fontId="2" fillId="0" borderId="15" xfId="0" applyNumberFormat="1" applyFont="1" applyBorder="1" applyAlignment="1">
      <alignment horizontal="right"/>
    </xf>
    <xf numFmtId="0" fontId="2" fillId="0" borderId="16" xfId="0" applyNumberFormat="1" applyFont="1" applyBorder="1" applyAlignment="1">
      <alignment horizontal="right"/>
    </xf>
    <xf numFmtId="1" fontId="2" fillId="0" borderId="17" xfId="0" applyNumberFormat="1" applyFont="1" applyBorder="1" applyAlignment="1"/>
    <xf numFmtId="0" fontId="2" fillId="0" borderId="17" xfId="0" applyNumberFormat="1" applyFont="1" applyBorder="1" applyAlignment="1"/>
    <xf numFmtId="0" fontId="2" fillId="2" borderId="4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2" fillId="0" borderId="15" xfId="0" applyNumberFormat="1" applyFont="1" applyBorder="1" applyAlignment="1"/>
    <xf numFmtId="0" fontId="2" fillId="0" borderId="18" xfId="0" applyNumberFormat="1" applyFont="1" applyBorder="1" applyAlignment="1">
      <alignment horizontal="right"/>
    </xf>
    <xf numFmtId="0" fontId="2" fillId="0" borderId="19" xfId="0" applyNumberFormat="1" applyFont="1" applyBorder="1" applyAlignment="1">
      <alignment horizontal="right"/>
    </xf>
    <xf numFmtId="0" fontId="2" fillId="0" borderId="20" xfId="0" applyNumberFormat="1" applyFont="1" applyBorder="1" applyAlignment="1">
      <alignment horizontal="right"/>
    </xf>
    <xf numFmtId="1" fontId="2" fillId="2" borderId="21" xfId="0" applyNumberFormat="1" applyFont="1" applyFill="1" applyBorder="1" applyAlignment="1"/>
    <xf numFmtId="1" fontId="2" fillId="2" borderId="22" xfId="0" applyNumberFormat="1" applyFont="1" applyFill="1" applyBorder="1" applyAlignment="1"/>
    <xf numFmtId="1" fontId="2" fillId="2" borderId="23" xfId="0" applyNumberFormat="1" applyFont="1" applyFill="1" applyBorder="1" applyAlignment="1"/>
    <xf numFmtId="0" fontId="2" fillId="0" borderId="24" xfId="0" applyNumberFormat="1" applyFont="1" applyBorder="1" applyAlignment="1">
      <alignment horizontal="right"/>
    </xf>
    <xf numFmtId="0" fontId="2" fillId="0" borderId="25" xfId="0" applyNumberFormat="1" applyFont="1" applyBorder="1" applyAlignment="1">
      <alignment horizontal="right"/>
    </xf>
    <xf numFmtId="0" fontId="2" fillId="0" borderId="26" xfId="0" applyNumberFormat="1" applyFont="1" applyBorder="1" applyAlignment="1">
      <alignment horizontal="right"/>
    </xf>
    <xf numFmtId="0" fontId="2" fillId="0" borderId="27" xfId="0" applyNumberFormat="1" applyFont="1" applyBorder="1" applyAlignment="1">
      <alignment horizontal="right"/>
    </xf>
    <xf numFmtId="0" fontId="2" fillId="0" borderId="2" xfId="0" applyNumberFormat="1" applyFont="1" applyBorder="1" applyAlignment="1">
      <alignment horizontal="right"/>
    </xf>
    <xf numFmtId="0" fontId="2" fillId="0" borderId="28" xfId="0" applyNumberFormat="1" applyFont="1" applyBorder="1" applyAlignment="1">
      <alignment horizontal="right"/>
    </xf>
    <xf numFmtId="0" fontId="2" fillId="0" borderId="29" xfId="0" applyNumberFormat="1" applyFont="1" applyBorder="1" applyAlignment="1">
      <alignment horizontal="right"/>
    </xf>
    <xf numFmtId="14" fontId="1" fillId="0" borderId="2" xfId="0" applyNumberFormat="1" applyFont="1" applyBorder="1" applyAlignment="1">
      <alignment horizontal="center"/>
    </xf>
    <xf numFmtId="1" fontId="2" fillId="2" borderId="30" xfId="0" applyNumberFormat="1" applyFont="1" applyFill="1" applyBorder="1" applyAlignment="1">
      <alignment horizontal="center"/>
    </xf>
    <xf numFmtId="1" fontId="2" fillId="2" borderId="31" xfId="0" applyNumberFormat="1" applyFont="1" applyFill="1" applyBorder="1" applyAlignment="1">
      <alignment horizontal="center"/>
    </xf>
    <xf numFmtId="1" fontId="2" fillId="2" borderId="32" xfId="0" applyNumberFormat="1" applyFont="1" applyFill="1" applyBorder="1" applyAlignment="1">
      <alignment horizontal="center"/>
    </xf>
    <xf numFmtId="0" fontId="2" fillId="0" borderId="29" xfId="0" applyNumberFormat="1" applyFont="1" applyBorder="1" applyAlignment="1">
      <alignment horizontal="center"/>
    </xf>
    <xf numFmtId="0" fontId="3" fillId="0" borderId="29" xfId="0" applyNumberFormat="1" applyFont="1" applyBorder="1" applyAlignment="1">
      <alignment horizontal="center"/>
    </xf>
    <xf numFmtId="1" fontId="2" fillId="3" borderId="30" xfId="0" applyNumberFormat="1" applyFont="1" applyFill="1" applyBorder="1" applyAlignment="1">
      <alignment horizontal="center"/>
    </xf>
    <xf numFmtId="1" fontId="2" fillId="0" borderId="29" xfId="0" applyNumberFormat="1" applyFont="1" applyBorder="1" applyAlignment="1">
      <alignment horizontal="center"/>
    </xf>
    <xf numFmtId="0" fontId="2" fillId="2" borderId="30" xfId="0" applyNumberFormat="1" applyFont="1" applyFill="1" applyBorder="1" applyAlignment="1">
      <alignment horizontal="center"/>
    </xf>
    <xf numFmtId="0" fontId="1" fillId="0" borderId="3" xfId="0" applyNumberFormat="1" applyFont="1" applyBorder="1" applyAlignment="1"/>
    <xf numFmtId="0" fontId="2" fillId="0" borderId="33" xfId="0" applyNumberFormat="1" applyFont="1" applyBorder="1" applyAlignment="1">
      <alignment horizontal="center"/>
    </xf>
    <xf numFmtId="1" fontId="2" fillId="2" borderId="34" xfId="0" applyNumberFormat="1" applyFont="1" applyFill="1" applyBorder="1" applyAlignment="1">
      <alignment horizontal="center"/>
    </xf>
    <xf numFmtId="1" fontId="2" fillId="2" borderId="35" xfId="0" applyNumberFormat="1" applyFont="1" applyFill="1" applyBorder="1" applyAlignment="1">
      <alignment horizontal="center"/>
    </xf>
    <xf numFmtId="1" fontId="2" fillId="0" borderId="36" xfId="0" applyNumberFormat="1" applyFont="1" applyBorder="1" applyAlignment="1">
      <alignment horizontal="center"/>
    </xf>
    <xf numFmtId="0" fontId="2" fillId="0" borderId="37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0" borderId="38" xfId="0" applyNumberFormat="1" applyFont="1" applyBorder="1" applyAlignment="1">
      <alignment horizontal="center"/>
    </xf>
    <xf numFmtId="0" fontId="2" fillId="0" borderId="0" xfId="0" applyNumberFormat="1" applyFont="1" applyAlignment="1"/>
    <xf numFmtId="0" fontId="2" fillId="0" borderId="39" xfId="0" applyNumberFormat="1" applyFont="1" applyBorder="1" applyAlignment="1">
      <alignment horizontal="center"/>
    </xf>
    <xf numFmtId="0" fontId="2" fillId="0" borderId="40" xfId="0" applyNumberFormat="1" applyFont="1" applyBorder="1" applyAlignment="1"/>
    <xf numFmtId="0" fontId="5" fillId="0" borderId="41" xfId="0" applyNumberFormat="1" applyFont="1" applyBorder="1" applyAlignment="1">
      <alignment vertical="center" wrapText="1"/>
    </xf>
    <xf numFmtId="1" fontId="1" fillId="3" borderId="30" xfId="0" applyNumberFormat="1" applyFont="1" applyFill="1" applyBorder="1" applyAlignment="1">
      <alignment horizontal="center"/>
    </xf>
    <xf numFmtId="1" fontId="2" fillId="0" borderId="42" xfId="0" applyNumberFormat="1" applyFont="1" applyBorder="1" applyAlignment="1">
      <alignment horizontal="center"/>
    </xf>
    <xf numFmtId="0" fontId="7" fillId="0" borderId="1" xfId="0" applyNumberFormat="1" applyFont="1" applyBorder="1" applyAlignment="1"/>
    <xf numFmtId="14" fontId="1" fillId="0" borderId="43" xfId="0" applyNumberFormat="1" applyFont="1" applyBorder="1" applyAlignment="1">
      <alignment horizontal="center"/>
    </xf>
    <xf numFmtId="1" fontId="2" fillId="2" borderId="51" xfId="0" applyNumberFormat="1" applyFont="1" applyFill="1" applyBorder="1" applyAlignment="1">
      <alignment horizontal="center"/>
    </xf>
    <xf numFmtId="0" fontId="2" fillId="0" borderId="52" xfId="0" applyNumberFormat="1" applyFont="1" applyBorder="1" applyAlignment="1"/>
    <xf numFmtId="0" fontId="2" fillId="0" borderId="53" xfId="0" applyNumberFormat="1" applyFont="1" applyBorder="1" applyAlignment="1"/>
    <xf numFmtId="1" fontId="2" fillId="2" borderId="54" xfId="0" applyNumberFormat="1" applyFont="1" applyFill="1" applyBorder="1" applyAlignment="1">
      <alignment horizontal="center"/>
    </xf>
    <xf numFmtId="1" fontId="2" fillId="2" borderId="55" xfId="0" applyNumberFormat="1" applyFont="1" applyFill="1" applyBorder="1" applyAlignment="1">
      <alignment horizontal="center"/>
    </xf>
    <xf numFmtId="1" fontId="2" fillId="2" borderId="56" xfId="0" applyNumberFormat="1" applyFont="1" applyFill="1" applyBorder="1" applyAlignment="1">
      <alignment horizontal="center"/>
    </xf>
    <xf numFmtId="0" fontId="1" fillId="0" borderId="57" xfId="0" applyNumberFormat="1" applyFont="1" applyBorder="1" applyAlignment="1"/>
    <xf numFmtId="0" fontId="2" fillId="0" borderId="26" xfId="0" applyNumberFormat="1" applyFont="1" applyBorder="1" applyAlignment="1"/>
    <xf numFmtId="0" fontId="2" fillId="4" borderId="58" xfId="0" applyNumberFormat="1" applyFont="1" applyFill="1" applyBorder="1" applyAlignment="1" applyProtection="1">
      <protection locked="0"/>
    </xf>
    <xf numFmtId="0" fontId="2" fillId="4" borderId="59" xfId="0" applyNumberFormat="1" applyFont="1" applyFill="1" applyBorder="1" applyAlignment="1" applyProtection="1">
      <protection locked="0"/>
    </xf>
    <xf numFmtId="0" fontId="2" fillId="4" borderId="60" xfId="0" applyNumberFormat="1" applyFont="1" applyFill="1" applyBorder="1" applyAlignment="1" applyProtection="1">
      <protection locked="0"/>
    </xf>
    <xf numFmtId="0" fontId="0" fillId="4" borderId="44" xfId="0" applyNumberFormat="1" applyFill="1" applyBorder="1" applyAlignment="1">
      <alignment horizontal="left" wrapText="1"/>
    </xf>
    <xf numFmtId="0" fontId="0" fillId="4" borderId="45" xfId="0" applyNumberFormat="1" applyFill="1" applyBorder="1" applyAlignment="1">
      <alignment horizontal="left" wrapText="1"/>
    </xf>
    <xf numFmtId="0" fontId="0" fillId="4" borderId="46" xfId="0" applyNumberFormat="1" applyFill="1" applyBorder="1" applyAlignment="1">
      <alignment horizontal="left" wrapText="1"/>
    </xf>
    <xf numFmtId="0" fontId="0" fillId="4" borderId="47" xfId="0" applyNumberFormat="1" applyFill="1" applyBorder="1" applyAlignment="1">
      <alignment horizontal="left" wrapText="1"/>
    </xf>
    <xf numFmtId="0" fontId="0" fillId="4" borderId="0" xfId="0" applyNumberFormat="1" applyFill="1" applyBorder="1" applyAlignment="1">
      <alignment horizontal="left" wrapText="1"/>
    </xf>
    <xf numFmtId="0" fontId="0" fillId="4" borderId="48" xfId="0" applyNumberFormat="1" applyFill="1" applyBorder="1" applyAlignment="1">
      <alignment horizontal="left" wrapText="1"/>
    </xf>
    <xf numFmtId="0" fontId="0" fillId="4" borderId="49" xfId="0" applyNumberFormat="1" applyFill="1" applyBorder="1" applyAlignment="1">
      <alignment horizontal="left" wrapText="1"/>
    </xf>
    <xf numFmtId="0" fontId="0" fillId="4" borderId="41" xfId="0" applyNumberFormat="1" applyFill="1" applyBorder="1" applyAlignment="1">
      <alignment horizontal="left" wrapText="1"/>
    </xf>
    <xf numFmtId="0" fontId="0" fillId="4" borderId="50" xfId="0" applyNumberFormat="1" applyFill="1" applyBorder="1" applyAlignment="1">
      <alignment horizontal="left" wrapText="1"/>
    </xf>
    <xf numFmtId="1" fontId="2" fillId="5" borderId="61" xfId="0" applyNumberFormat="1" applyFont="1" applyFill="1" applyBorder="1" applyAlignment="1">
      <alignment horizontal="center"/>
    </xf>
    <xf numFmtId="0" fontId="2" fillId="4" borderId="29" xfId="0" applyNumberFormat="1" applyFont="1" applyFill="1" applyBorder="1" applyAlignment="1" applyProtection="1">
      <alignment horizontal="center"/>
      <protection locked="0"/>
    </xf>
    <xf numFmtId="1" fontId="2" fillId="2" borderId="62" xfId="0" applyNumberFormat="1" applyFont="1" applyFill="1" applyBorder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0000"/>
      <rgbColor rgb="00FF0000"/>
      <rgbColor rgb="00FFFFFF"/>
      <rgbColor rgb="00F2F2F2"/>
      <rgbColor rgb="00AAAAAA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6"/>
  <sheetViews>
    <sheetView showGridLines="0" workbookViewId="0"/>
  </sheetViews>
  <sheetFormatPr defaultColWidth="9.140625" defaultRowHeight="12.75" x14ac:dyDescent="0.2"/>
  <cols>
    <col min="1" max="1" width="28.7109375" customWidth="1"/>
    <col min="2" max="2" width="20.85546875" customWidth="1"/>
    <col min="3" max="18" width="11.42578125" customWidth="1"/>
    <col min="19" max="19" width="9.42578125" customWidth="1"/>
  </cols>
  <sheetData>
    <row r="1" spans="1:19" ht="15" customHeight="1" x14ac:dyDescent="0.2"/>
    <row r="2" spans="1:19" ht="17.100000000000001" customHeight="1" x14ac:dyDescent="0.2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7.100000000000001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2"/>
    </row>
    <row r="4" spans="1:19" ht="17.100000000000001" customHeight="1" x14ac:dyDescent="0.25">
      <c r="A4" s="2"/>
      <c r="B4" s="3">
        <v>41897</v>
      </c>
      <c r="C4" s="3">
        <f t="shared" ref="C4:Q4" si="0">B4+1</f>
        <v>41898</v>
      </c>
      <c r="D4" s="3">
        <f t="shared" si="0"/>
        <v>41899</v>
      </c>
      <c r="E4" s="3">
        <f t="shared" si="0"/>
        <v>41900</v>
      </c>
      <c r="F4" s="3">
        <f t="shared" si="0"/>
        <v>41901</v>
      </c>
      <c r="G4" s="3">
        <f t="shared" si="0"/>
        <v>41902</v>
      </c>
      <c r="H4" s="3">
        <f t="shared" si="0"/>
        <v>41903</v>
      </c>
      <c r="I4" s="3">
        <f t="shared" si="0"/>
        <v>41904</v>
      </c>
      <c r="J4" s="3">
        <f t="shared" si="0"/>
        <v>41905</v>
      </c>
      <c r="K4" s="3">
        <f t="shared" si="0"/>
        <v>41906</v>
      </c>
      <c r="L4" s="3">
        <f t="shared" si="0"/>
        <v>41907</v>
      </c>
      <c r="M4" s="3">
        <f t="shared" si="0"/>
        <v>41908</v>
      </c>
      <c r="N4" s="3">
        <f t="shared" si="0"/>
        <v>41909</v>
      </c>
      <c r="O4" s="3">
        <f t="shared" si="0"/>
        <v>41910</v>
      </c>
      <c r="P4" s="3">
        <f t="shared" si="0"/>
        <v>41911</v>
      </c>
      <c r="Q4" s="3">
        <f t="shared" si="0"/>
        <v>41912</v>
      </c>
      <c r="R4" s="4"/>
      <c r="S4" s="2"/>
    </row>
    <row r="5" spans="1:19" ht="17.100000000000001" customHeight="1" x14ac:dyDescent="0.25">
      <c r="A5" s="2" t="s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"/>
      <c r="S5" s="2"/>
    </row>
    <row r="6" spans="1:19" ht="17.100000000000001" customHeight="1" x14ac:dyDescent="0.25">
      <c r="A6" s="6">
        <v>0.01</v>
      </c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10"/>
      <c r="S6" s="2"/>
    </row>
    <row r="7" spans="1:19" ht="17.100000000000001" customHeight="1" x14ac:dyDescent="0.25">
      <c r="A7" s="6">
        <v>0.05</v>
      </c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3"/>
      <c r="R7" s="10"/>
      <c r="S7" s="2"/>
    </row>
    <row r="8" spans="1:19" ht="17.100000000000001" customHeight="1" x14ac:dyDescent="0.25">
      <c r="A8" s="14">
        <v>0.2</v>
      </c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3"/>
      <c r="R8" s="10"/>
      <c r="S8" s="2"/>
    </row>
    <row r="9" spans="1:19" ht="17.100000000000001" customHeight="1" x14ac:dyDescent="0.25">
      <c r="A9" s="14">
        <v>0.5</v>
      </c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3"/>
      <c r="R9" s="10"/>
      <c r="S9" s="2"/>
    </row>
    <row r="10" spans="1:19" ht="17.100000000000001" customHeight="1" x14ac:dyDescent="0.25">
      <c r="A10" s="6">
        <v>1</v>
      </c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3"/>
      <c r="R10" s="10"/>
      <c r="S10" s="2"/>
    </row>
    <row r="11" spans="1:19" ht="17.100000000000001" customHeight="1" x14ac:dyDescent="0.25">
      <c r="A11" s="6">
        <v>2</v>
      </c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3"/>
      <c r="R11" s="10"/>
      <c r="S11" s="2"/>
    </row>
    <row r="12" spans="1:19" ht="17.100000000000001" customHeight="1" x14ac:dyDescent="0.25">
      <c r="A12" s="6">
        <v>5</v>
      </c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3"/>
      <c r="R12" s="10"/>
      <c r="S12" s="2"/>
    </row>
    <row r="13" spans="1:19" ht="17.100000000000001" customHeight="1" x14ac:dyDescent="0.25">
      <c r="A13" s="6">
        <v>10</v>
      </c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3"/>
      <c r="R13" s="10"/>
      <c r="S13" s="2"/>
    </row>
    <row r="14" spans="1:19" ht="17.100000000000001" customHeight="1" x14ac:dyDescent="0.25">
      <c r="A14" s="6">
        <v>20</v>
      </c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0"/>
      <c r="S14" s="2"/>
    </row>
    <row r="15" spans="1:19" ht="17.100000000000001" customHeight="1" x14ac:dyDescent="0.25">
      <c r="A15" s="18" t="s">
        <v>2</v>
      </c>
      <c r="B15" s="19">
        <f t="shared" ref="B15:Q15" si="1">SUM(B6:B14)</f>
        <v>0</v>
      </c>
      <c r="C15" s="20">
        <f t="shared" si="1"/>
        <v>0</v>
      </c>
      <c r="D15" s="20">
        <f t="shared" si="1"/>
        <v>0</v>
      </c>
      <c r="E15" s="20">
        <f t="shared" si="1"/>
        <v>0</v>
      </c>
      <c r="F15" s="20">
        <f t="shared" si="1"/>
        <v>0</v>
      </c>
      <c r="G15" s="20">
        <f t="shared" si="1"/>
        <v>0</v>
      </c>
      <c r="H15" s="20">
        <f t="shared" si="1"/>
        <v>0</v>
      </c>
      <c r="I15" s="20">
        <f t="shared" si="1"/>
        <v>0</v>
      </c>
      <c r="J15" s="20">
        <f t="shared" si="1"/>
        <v>0</v>
      </c>
      <c r="K15" s="20">
        <f t="shared" si="1"/>
        <v>0</v>
      </c>
      <c r="L15" s="20">
        <f t="shared" si="1"/>
        <v>0</v>
      </c>
      <c r="M15" s="20">
        <f t="shared" si="1"/>
        <v>0</v>
      </c>
      <c r="N15" s="20">
        <f t="shared" si="1"/>
        <v>0</v>
      </c>
      <c r="O15" s="20">
        <f t="shared" si="1"/>
        <v>0</v>
      </c>
      <c r="P15" s="20">
        <f t="shared" si="1"/>
        <v>0</v>
      </c>
      <c r="Q15" s="21">
        <f t="shared" si="1"/>
        <v>0</v>
      </c>
      <c r="R15" s="10"/>
      <c r="S15" s="2"/>
    </row>
    <row r="16" spans="1:19" ht="17.100000000000001" customHeight="1" x14ac:dyDescent="0.25">
      <c r="A16" s="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"/>
      <c r="S16" s="2"/>
    </row>
    <row r="17" spans="1:19" ht="17.100000000000001" customHeight="1" x14ac:dyDescent="0.25">
      <c r="A17" s="2" t="s">
        <v>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2"/>
      <c r="S17" s="2"/>
    </row>
    <row r="18" spans="1:19" ht="17.100000000000001" customHeight="1" x14ac:dyDescent="0.25">
      <c r="A18" s="6">
        <v>0.01</v>
      </c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10"/>
      <c r="S18" s="2"/>
    </row>
    <row r="19" spans="1:19" ht="17.100000000000001" customHeight="1" x14ac:dyDescent="0.25">
      <c r="A19" s="6">
        <v>0.05</v>
      </c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3"/>
      <c r="R19" s="10"/>
      <c r="S19" s="2"/>
    </row>
    <row r="20" spans="1:19" ht="17.100000000000001" customHeight="1" x14ac:dyDescent="0.25">
      <c r="A20" s="14">
        <v>0.2</v>
      </c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3"/>
      <c r="R20" s="10"/>
      <c r="S20" s="2"/>
    </row>
    <row r="21" spans="1:19" ht="17.100000000000001" customHeight="1" x14ac:dyDescent="0.25">
      <c r="A21" s="14">
        <v>0.5</v>
      </c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3"/>
      <c r="R21" s="10"/>
      <c r="S21" s="2"/>
    </row>
    <row r="22" spans="1:19" ht="17.100000000000001" customHeight="1" x14ac:dyDescent="0.25">
      <c r="A22" s="6">
        <v>1</v>
      </c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3"/>
      <c r="R22" s="10"/>
      <c r="S22" s="2"/>
    </row>
    <row r="23" spans="1:19" ht="17.100000000000001" customHeight="1" x14ac:dyDescent="0.25">
      <c r="A23" s="6">
        <v>2</v>
      </c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3"/>
      <c r="R23" s="10"/>
      <c r="S23" s="2"/>
    </row>
    <row r="24" spans="1:19" ht="17.100000000000001" customHeight="1" x14ac:dyDescent="0.25">
      <c r="A24" s="6">
        <v>5</v>
      </c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3"/>
      <c r="R24" s="10"/>
      <c r="S24" s="2"/>
    </row>
    <row r="25" spans="1:19" ht="17.100000000000001" customHeight="1" x14ac:dyDescent="0.25">
      <c r="A25" s="6">
        <v>10</v>
      </c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3"/>
      <c r="R25" s="10"/>
      <c r="S25" s="2"/>
    </row>
    <row r="26" spans="1:19" ht="17.100000000000001" customHeight="1" x14ac:dyDescent="0.25">
      <c r="A26" s="6">
        <v>20</v>
      </c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7"/>
      <c r="R26" s="10"/>
      <c r="S26" s="2"/>
    </row>
    <row r="27" spans="1:19" ht="17.100000000000001" customHeight="1" x14ac:dyDescent="0.25">
      <c r="A27" s="18" t="s">
        <v>2</v>
      </c>
      <c r="B27" s="19">
        <f t="shared" ref="B27:Q27" si="2">SUM(B18:B26)</f>
        <v>0</v>
      </c>
      <c r="C27" s="20">
        <f t="shared" si="2"/>
        <v>0</v>
      </c>
      <c r="D27" s="20">
        <f t="shared" si="2"/>
        <v>0</v>
      </c>
      <c r="E27" s="20">
        <f t="shared" si="2"/>
        <v>0</v>
      </c>
      <c r="F27" s="20">
        <f t="shared" si="2"/>
        <v>0</v>
      </c>
      <c r="G27" s="20">
        <f t="shared" si="2"/>
        <v>0</v>
      </c>
      <c r="H27" s="20">
        <f t="shared" si="2"/>
        <v>0</v>
      </c>
      <c r="I27" s="20">
        <f t="shared" si="2"/>
        <v>0</v>
      </c>
      <c r="J27" s="20">
        <f t="shared" si="2"/>
        <v>0</v>
      </c>
      <c r="K27" s="20">
        <f t="shared" si="2"/>
        <v>0</v>
      </c>
      <c r="L27" s="20">
        <f t="shared" si="2"/>
        <v>0</v>
      </c>
      <c r="M27" s="20">
        <f t="shared" si="2"/>
        <v>0</v>
      </c>
      <c r="N27" s="20">
        <f t="shared" si="2"/>
        <v>0</v>
      </c>
      <c r="O27" s="20">
        <f t="shared" si="2"/>
        <v>0</v>
      </c>
      <c r="P27" s="20">
        <f t="shared" si="2"/>
        <v>0</v>
      </c>
      <c r="Q27" s="21">
        <f t="shared" si="2"/>
        <v>0</v>
      </c>
      <c r="R27" s="10"/>
      <c r="S27" s="2"/>
    </row>
    <row r="28" spans="1:19" ht="17.100000000000001" customHeight="1" x14ac:dyDescent="0.25">
      <c r="A28" s="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"/>
      <c r="S28" s="2"/>
    </row>
    <row r="29" spans="1:19" ht="17.100000000000001" customHeight="1" x14ac:dyDescent="0.25">
      <c r="A29" s="2" t="s">
        <v>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2"/>
      <c r="S29" s="2"/>
    </row>
    <row r="30" spans="1:19" ht="17.100000000000001" customHeight="1" x14ac:dyDescent="0.25">
      <c r="A30" s="6">
        <v>0.01</v>
      </c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9"/>
      <c r="R30" s="10"/>
      <c r="S30" s="2"/>
    </row>
    <row r="31" spans="1:19" ht="17.100000000000001" customHeight="1" x14ac:dyDescent="0.25">
      <c r="A31" s="6">
        <v>0.05</v>
      </c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3"/>
      <c r="R31" s="10"/>
      <c r="S31" s="2"/>
    </row>
    <row r="32" spans="1:19" ht="17.100000000000001" customHeight="1" x14ac:dyDescent="0.25">
      <c r="A32" s="14">
        <v>0.2</v>
      </c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3"/>
      <c r="R32" s="10"/>
      <c r="S32" s="2"/>
    </row>
    <row r="33" spans="1:19" ht="17.100000000000001" customHeight="1" x14ac:dyDescent="0.25">
      <c r="A33" s="14">
        <v>0.5</v>
      </c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3"/>
      <c r="R33" s="10"/>
      <c r="S33" s="2"/>
    </row>
    <row r="34" spans="1:19" ht="17.100000000000001" customHeight="1" x14ac:dyDescent="0.25">
      <c r="A34" s="6">
        <v>1</v>
      </c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3"/>
      <c r="R34" s="10"/>
      <c r="S34" s="2"/>
    </row>
    <row r="35" spans="1:19" ht="17.100000000000001" customHeight="1" x14ac:dyDescent="0.25">
      <c r="A35" s="6">
        <v>2</v>
      </c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3"/>
      <c r="R35" s="10"/>
      <c r="S35" s="2"/>
    </row>
    <row r="36" spans="1:19" ht="17.100000000000001" customHeight="1" x14ac:dyDescent="0.25">
      <c r="A36" s="6">
        <v>5</v>
      </c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3"/>
      <c r="R36" s="10"/>
      <c r="S36" s="2"/>
    </row>
    <row r="37" spans="1:19" ht="17.100000000000001" customHeight="1" x14ac:dyDescent="0.25">
      <c r="A37" s="6">
        <v>10</v>
      </c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3"/>
      <c r="R37" s="10"/>
      <c r="S37" s="2"/>
    </row>
    <row r="38" spans="1:19" ht="17.100000000000001" customHeight="1" x14ac:dyDescent="0.25">
      <c r="A38" s="6">
        <v>20</v>
      </c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7"/>
      <c r="R38" s="10"/>
      <c r="S38" s="2"/>
    </row>
    <row r="39" spans="1:19" ht="17.100000000000001" customHeight="1" x14ac:dyDescent="0.25">
      <c r="A39" s="18" t="s">
        <v>2</v>
      </c>
      <c r="B39" s="19">
        <f t="shared" ref="B39:Q39" si="3">SUM(B35:B38)</f>
        <v>0</v>
      </c>
      <c r="C39" s="20">
        <f t="shared" si="3"/>
        <v>0</v>
      </c>
      <c r="D39" s="20">
        <f t="shared" si="3"/>
        <v>0</v>
      </c>
      <c r="E39" s="20">
        <f t="shared" si="3"/>
        <v>0</v>
      </c>
      <c r="F39" s="20">
        <f t="shared" si="3"/>
        <v>0</v>
      </c>
      <c r="G39" s="20">
        <f t="shared" si="3"/>
        <v>0</v>
      </c>
      <c r="H39" s="20">
        <f t="shared" si="3"/>
        <v>0</v>
      </c>
      <c r="I39" s="20">
        <f t="shared" si="3"/>
        <v>0</v>
      </c>
      <c r="J39" s="20">
        <f t="shared" si="3"/>
        <v>0</v>
      </c>
      <c r="K39" s="20">
        <f t="shared" si="3"/>
        <v>0</v>
      </c>
      <c r="L39" s="20">
        <f t="shared" si="3"/>
        <v>0</v>
      </c>
      <c r="M39" s="20">
        <f t="shared" si="3"/>
        <v>0</v>
      </c>
      <c r="N39" s="20">
        <f t="shared" si="3"/>
        <v>0</v>
      </c>
      <c r="O39" s="20">
        <f t="shared" si="3"/>
        <v>0</v>
      </c>
      <c r="P39" s="20">
        <f t="shared" si="3"/>
        <v>0</v>
      </c>
      <c r="Q39" s="21">
        <f t="shared" si="3"/>
        <v>0</v>
      </c>
      <c r="R39" s="10"/>
      <c r="S39" s="2"/>
    </row>
    <row r="40" spans="1:19" ht="17.100000000000001" customHeight="1" x14ac:dyDescent="0.25">
      <c r="A40" s="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"/>
      <c r="S40" s="2"/>
    </row>
    <row r="41" spans="1:19" ht="17.100000000000001" customHeight="1" x14ac:dyDescent="0.25">
      <c r="A41" s="2" t="s">
        <v>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2"/>
      <c r="S41" s="2"/>
    </row>
    <row r="42" spans="1:19" ht="17.100000000000001" customHeight="1" x14ac:dyDescent="0.25">
      <c r="A42" s="18" t="s">
        <v>6</v>
      </c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9"/>
      <c r="R42" s="10"/>
      <c r="S42" s="2"/>
    </row>
    <row r="43" spans="1:19" ht="17.100000000000001" customHeight="1" x14ac:dyDescent="0.25">
      <c r="A43" s="18" t="s">
        <v>7</v>
      </c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3"/>
      <c r="R43" s="10"/>
      <c r="S43" s="2"/>
    </row>
    <row r="44" spans="1:19" ht="17.100000000000001" customHeight="1" x14ac:dyDescent="0.25">
      <c r="A44" s="18" t="s">
        <v>8</v>
      </c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3"/>
      <c r="R44" s="10"/>
      <c r="S44" s="2"/>
    </row>
    <row r="45" spans="1:19" ht="17.100000000000001" customHeight="1" x14ac:dyDescent="0.25">
      <c r="A45" s="18" t="s">
        <v>9</v>
      </c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3"/>
      <c r="R45" s="10"/>
      <c r="S45" s="2"/>
    </row>
    <row r="46" spans="1:19" ht="17.100000000000001" customHeight="1" x14ac:dyDescent="0.25">
      <c r="A46" s="18" t="s">
        <v>10</v>
      </c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3"/>
      <c r="R46" s="10"/>
      <c r="S46" s="2"/>
    </row>
    <row r="47" spans="1:19" ht="17.100000000000001" customHeight="1" x14ac:dyDescent="0.25">
      <c r="A47" s="18" t="s">
        <v>11</v>
      </c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3"/>
      <c r="R47" s="10"/>
      <c r="S47" s="2"/>
    </row>
    <row r="48" spans="1:19" ht="17.100000000000001" customHeight="1" x14ac:dyDescent="0.25">
      <c r="A48" s="18" t="s">
        <v>12</v>
      </c>
      <c r="B48" s="1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3"/>
      <c r="R48" s="10"/>
      <c r="S48" s="2"/>
    </row>
    <row r="49" spans="1:19" ht="17.100000000000001" customHeight="1" x14ac:dyDescent="0.25">
      <c r="A49" s="18" t="s">
        <v>13</v>
      </c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7"/>
      <c r="R49" s="10"/>
      <c r="S49" s="2"/>
    </row>
    <row r="50" spans="1:19" ht="17.100000000000001" customHeight="1" x14ac:dyDescent="0.25">
      <c r="A50" s="18" t="s">
        <v>2</v>
      </c>
      <c r="B50" s="19">
        <f t="shared" ref="B50:Q50" si="4">SUM(B42:B49)</f>
        <v>0</v>
      </c>
      <c r="C50" s="20">
        <f t="shared" si="4"/>
        <v>0</v>
      </c>
      <c r="D50" s="20">
        <f t="shared" si="4"/>
        <v>0</v>
      </c>
      <c r="E50" s="20">
        <f t="shared" si="4"/>
        <v>0</v>
      </c>
      <c r="F50" s="20">
        <f t="shared" si="4"/>
        <v>0</v>
      </c>
      <c r="G50" s="20">
        <f t="shared" si="4"/>
        <v>0</v>
      </c>
      <c r="H50" s="20">
        <f t="shared" si="4"/>
        <v>0</v>
      </c>
      <c r="I50" s="20">
        <f t="shared" si="4"/>
        <v>0</v>
      </c>
      <c r="J50" s="20">
        <f t="shared" si="4"/>
        <v>0</v>
      </c>
      <c r="K50" s="20">
        <f t="shared" si="4"/>
        <v>0</v>
      </c>
      <c r="L50" s="20">
        <f t="shared" si="4"/>
        <v>0</v>
      </c>
      <c r="M50" s="20">
        <f t="shared" si="4"/>
        <v>0</v>
      </c>
      <c r="N50" s="20">
        <f t="shared" si="4"/>
        <v>0</v>
      </c>
      <c r="O50" s="20">
        <f t="shared" si="4"/>
        <v>0</v>
      </c>
      <c r="P50" s="20">
        <f t="shared" si="4"/>
        <v>0</v>
      </c>
      <c r="Q50" s="21">
        <f t="shared" si="4"/>
        <v>0</v>
      </c>
      <c r="R50" s="10"/>
      <c r="S50" s="2"/>
    </row>
    <row r="51" spans="1:19" ht="17.100000000000001" customHeight="1" x14ac:dyDescent="0.25">
      <c r="A51" s="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"/>
      <c r="S51" s="2"/>
    </row>
    <row r="52" spans="1:19" ht="17.100000000000001" customHeight="1" x14ac:dyDescent="0.25">
      <c r="A52" s="2" t="s">
        <v>14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2"/>
      <c r="S52" s="2"/>
    </row>
    <row r="53" spans="1:19" ht="17.100000000000001" customHeight="1" x14ac:dyDescent="0.25">
      <c r="A53" s="18" t="s">
        <v>15</v>
      </c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9"/>
      <c r="R53" s="10"/>
      <c r="S53" s="2"/>
    </row>
    <row r="54" spans="1:19" ht="17.100000000000001" customHeight="1" x14ac:dyDescent="0.25">
      <c r="A54" s="18" t="s">
        <v>16</v>
      </c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3"/>
      <c r="R54" s="10"/>
      <c r="S54" s="2"/>
    </row>
    <row r="55" spans="1:19" ht="17.100000000000001" customHeight="1" x14ac:dyDescent="0.25">
      <c r="A55" s="18" t="s">
        <v>17</v>
      </c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7"/>
      <c r="R55" s="10"/>
      <c r="S55" s="2"/>
    </row>
    <row r="56" spans="1:19" ht="17.100000000000001" customHeight="1" x14ac:dyDescent="0.25">
      <c r="A56" s="18" t="s">
        <v>2</v>
      </c>
      <c r="B56" s="19">
        <f t="shared" ref="B56:Q56" si="5">SUM(B51:B55)</f>
        <v>0</v>
      </c>
      <c r="C56" s="20">
        <f t="shared" si="5"/>
        <v>0</v>
      </c>
      <c r="D56" s="20">
        <f t="shared" si="5"/>
        <v>0</v>
      </c>
      <c r="E56" s="20">
        <f t="shared" si="5"/>
        <v>0</v>
      </c>
      <c r="F56" s="20">
        <f t="shared" si="5"/>
        <v>0</v>
      </c>
      <c r="G56" s="20">
        <f t="shared" si="5"/>
        <v>0</v>
      </c>
      <c r="H56" s="20">
        <f t="shared" si="5"/>
        <v>0</v>
      </c>
      <c r="I56" s="20">
        <f t="shared" si="5"/>
        <v>0</v>
      </c>
      <c r="J56" s="20">
        <f t="shared" si="5"/>
        <v>0</v>
      </c>
      <c r="K56" s="20">
        <f t="shared" si="5"/>
        <v>0</v>
      </c>
      <c r="L56" s="20">
        <f t="shared" si="5"/>
        <v>0</v>
      </c>
      <c r="M56" s="20">
        <f t="shared" si="5"/>
        <v>0</v>
      </c>
      <c r="N56" s="20">
        <f t="shared" si="5"/>
        <v>0</v>
      </c>
      <c r="O56" s="20">
        <f t="shared" si="5"/>
        <v>0</v>
      </c>
      <c r="P56" s="20">
        <f t="shared" si="5"/>
        <v>0</v>
      </c>
      <c r="Q56" s="21">
        <f t="shared" si="5"/>
        <v>0</v>
      </c>
      <c r="R56" s="10"/>
      <c r="S56" s="2"/>
    </row>
    <row r="57" spans="1:19" ht="17.100000000000001" customHeight="1" x14ac:dyDescent="0.25">
      <c r="A57" s="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"/>
      <c r="S57" s="2"/>
    </row>
    <row r="58" spans="1:19" ht="17.100000000000001" customHeight="1" x14ac:dyDescent="0.25">
      <c r="A58" s="2" t="s">
        <v>18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2"/>
      <c r="S58" s="2"/>
    </row>
    <row r="59" spans="1:19" ht="17.100000000000001" customHeight="1" x14ac:dyDescent="0.25">
      <c r="A59" s="18" t="s">
        <v>19</v>
      </c>
      <c r="B59" s="24">
        <v>3000</v>
      </c>
      <c r="C59" s="25">
        <v>4000</v>
      </c>
      <c r="D59" s="25">
        <v>5000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  <c r="R59" s="10"/>
      <c r="S59" s="2"/>
    </row>
    <row r="60" spans="1:19" ht="17.100000000000001" customHeight="1" x14ac:dyDescent="0.25">
      <c r="A60" s="18" t="s">
        <v>20</v>
      </c>
      <c r="B60" s="11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3"/>
      <c r="R60" s="10"/>
      <c r="S60" s="2"/>
    </row>
    <row r="61" spans="1:19" ht="17.100000000000001" customHeight="1" x14ac:dyDescent="0.25">
      <c r="A61" s="18" t="s">
        <v>21</v>
      </c>
      <c r="B61" s="1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3"/>
      <c r="R61" s="10"/>
      <c r="S61" s="2"/>
    </row>
    <row r="62" spans="1:19" ht="17.100000000000001" customHeight="1" x14ac:dyDescent="0.25">
      <c r="A62" s="18" t="s">
        <v>22</v>
      </c>
      <c r="B62" s="11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3"/>
      <c r="R62" s="10"/>
      <c r="S62" s="2"/>
    </row>
    <row r="63" spans="1:19" ht="17.100000000000001" customHeight="1" x14ac:dyDescent="0.25">
      <c r="A63" s="18" t="s">
        <v>23</v>
      </c>
      <c r="B63" s="11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3"/>
      <c r="R63" s="10"/>
      <c r="S63" s="2"/>
    </row>
    <row r="64" spans="1:19" ht="17.100000000000001" customHeight="1" x14ac:dyDescent="0.25">
      <c r="A64" s="18" t="s">
        <v>24</v>
      </c>
      <c r="B64" s="15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0"/>
      <c r="S64" s="2"/>
    </row>
    <row r="65" spans="1:19" ht="17.100000000000001" customHeight="1" x14ac:dyDescent="0.25">
      <c r="A65" s="18" t="s">
        <v>2</v>
      </c>
      <c r="B65" s="19">
        <f t="shared" ref="B65:Q65" si="6">SUM(B59:B64)</f>
        <v>3000</v>
      </c>
      <c r="C65" s="20">
        <f t="shared" si="6"/>
        <v>4000</v>
      </c>
      <c r="D65" s="20">
        <f t="shared" si="6"/>
        <v>5000</v>
      </c>
      <c r="E65" s="20">
        <f t="shared" si="6"/>
        <v>0</v>
      </c>
      <c r="F65" s="20">
        <f t="shared" si="6"/>
        <v>0</v>
      </c>
      <c r="G65" s="20">
        <f t="shared" si="6"/>
        <v>0</v>
      </c>
      <c r="H65" s="20">
        <f t="shared" si="6"/>
        <v>0</v>
      </c>
      <c r="I65" s="20">
        <f t="shared" si="6"/>
        <v>0</v>
      </c>
      <c r="J65" s="20">
        <f t="shared" si="6"/>
        <v>0</v>
      </c>
      <c r="K65" s="20">
        <f t="shared" si="6"/>
        <v>0</v>
      </c>
      <c r="L65" s="20">
        <f t="shared" si="6"/>
        <v>0</v>
      </c>
      <c r="M65" s="20">
        <f t="shared" si="6"/>
        <v>0</v>
      </c>
      <c r="N65" s="20">
        <f t="shared" si="6"/>
        <v>0</v>
      </c>
      <c r="O65" s="20">
        <f t="shared" si="6"/>
        <v>0</v>
      </c>
      <c r="P65" s="20">
        <f t="shared" si="6"/>
        <v>0</v>
      </c>
      <c r="Q65" s="21">
        <f t="shared" si="6"/>
        <v>0</v>
      </c>
      <c r="R65" s="10"/>
      <c r="S65" s="2"/>
    </row>
    <row r="66" spans="1:19" ht="17.100000000000001" customHeight="1" x14ac:dyDescent="0.25">
      <c r="A66" s="2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"/>
      <c r="S66" s="2"/>
    </row>
    <row r="67" spans="1:19" ht="17.100000000000001" customHeight="1" x14ac:dyDescent="0.25">
      <c r="A67" s="18" t="s">
        <v>25</v>
      </c>
      <c r="B67" s="27">
        <f t="shared" ref="B67:Q67" si="7">B27</f>
        <v>0</v>
      </c>
      <c r="C67" s="28">
        <f t="shared" si="7"/>
        <v>0</v>
      </c>
      <c r="D67" s="28">
        <f t="shared" si="7"/>
        <v>0</v>
      </c>
      <c r="E67" s="28">
        <f t="shared" si="7"/>
        <v>0</v>
      </c>
      <c r="F67" s="28">
        <f t="shared" si="7"/>
        <v>0</v>
      </c>
      <c r="G67" s="28">
        <f t="shared" si="7"/>
        <v>0</v>
      </c>
      <c r="H67" s="28">
        <f t="shared" si="7"/>
        <v>0</v>
      </c>
      <c r="I67" s="28">
        <f t="shared" si="7"/>
        <v>0</v>
      </c>
      <c r="J67" s="28">
        <f t="shared" si="7"/>
        <v>0</v>
      </c>
      <c r="K67" s="28">
        <f t="shared" si="7"/>
        <v>0</v>
      </c>
      <c r="L67" s="28">
        <f t="shared" si="7"/>
        <v>0</v>
      </c>
      <c r="M67" s="28">
        <f t="shared" si="7"/>
        <v>0</v>
      </c>
      <c r="N67" s="28">
        <f t="shared" si="7"/>
        <v>0</v>
      </c>
      <c r="O67" s="28">
        <f t="shared" si="7"/>
        <v>0</v>
      </c>
      <c r="P67" s="28">
        <f t="shared" si="7"/>
        <v>0</v>
      </c>
      <c r="Q67" s="29">
        <f t="shared" si="7"/>
        <v>0</v>
      </c>
      <c r="R67" s="10"/>
      <c r="S67" s="2"/>
    </row>
    <row r="68" spans="1:19" ht="17.100000000000001" customHeight="1" x14ac:dyDescent="0.25">
      <c r="A68" s="18" t="s">
        <v>26</v>
      </c>
      <c r="B68" s="30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2"/>
      <c r="R68" s="10"/>
      <c r="S68" s="2"/>
    </row>
    <row r="69" spans="1:19" ht="17.100000000000001" customHeight="1" x14ac:dyDescent="0.25">
      <c r="A69" s="18" t="s">
        <v>27</v>
      </c>
      <c r="B69" s="33">
        <f t="shared" ref="B69:Q69" si="8">B53</f>
        <v>0</v>
      </c>
      <c r="C69" s="34">
        <f t="shared" si="8"/>
        <v>0</v>
      </c>
      <c r="D69" s="34">
        <f t="shared" si="8"/>
        <v>0</v>
      </c>
      <c r="E69" s="34">
        <f t="shared" si="8"/>
        <v>0</v>
      </c>
      <c r="F69" s="34">
        <f t="shared" si="8"/>
        <v>0</v>
      </c>
      <c r="G69" s="34">
        <f t="shared" si="8"/>
        <v>0</v>
      </c>
      <c r="H69" s="34">
        <f t="shared" si="8"/>
        <v>0</v>
      </c>
      <c r="I69" s="34">
        <f t="shared" si="8"/>
        <v>0</v>
      </c>
      <c r="J69" s="34">
        <f t="shared" si="8"/>
        <v>0</v>
      </c>
      <c r="K69" s="34">
        <f t="shared" si="8"/>
        <v>0</v>
      </c>
      <c r="L69" s="34">
        <f t="shared" si="8"/>
        <v>0</v>
      </c>
      <c r="M69" s="34">
        <f t="shared" si="8"/>
        <v>0</v>
      </c>
      <c r="N69" s="34">
        <f t="shared" si="8"/>
        <v>0</v>
      </c>
      <c r="O69" s="34">
        <f t="shared" si="8"/>
        <v>0</v>
      </c>
      <c r="P69" s="34">
        <f t="shared" si="8"/>
        <v>0</v>
      </c>
      <c r="Q69" s="35">
        <f t="shared" si="8"/>
        <v>0</v>
      </c>
      <c r="R69" s="10"/>
      <c r="S69" s="2"/>
    </row>
    <row r="70" spans="1:19" ht="17.100000000000001" customHeight="1" x14ac:dyDescent="0.25">
      <c r="A70" s="18" t="s">
        <v>28</v>
      </c>
      <c r="B70" s="36">
        <f t="shared" ref="B70:Q70" si="9">B50</f>
        <v>0</v>
      </c>
      <c r="C70" s="37">
        <f t="shared" si="9"/>
        <v>0</v>
      </c>
      <c r="D70" s="37">
        <f t="shared" si="9"/>
        <v>0</v>
      </c>
      <c r="E70" s="37">
        <f t="shared" si="9"/>
        <v>0</v>
      </c>
      <c r="F70" s="37">
        <f t="shared" si="9"/>
        <v>0</v>
      </c>
      <c r="G70" s="37">
        <f t="shared" si="9"/>
        <v>0</v>
      </c>
      <c r="H70" s="37">
        <f t="shared" si="9"/>
        <v>0</v>
      </c>
      <c r="I70" s="37">
        <f t="shared" si="9"/>
        <v>0</v>
      </c>
      <c r="J70" s="37">
        <f t="shared" si="9"/>
        <v>0</v>
      </c>
      <c r="K70" s="37">
        <f t="shared" si="9"/>
        <v>0</v>
      </c>
      <c r="L70" s="37">
        <f t="shared" si="9"/>
        <v>0</v>
      </c>
      <c r="M70" s="37">
        <f t="shared" si="9"/>
        <v>0</v>
      </c>
      <c r="N70" s="37">
        <f t="shared" si="9"/>
        <v>0</v>
      </c>
      <c r="O70" s="37">
        <f t="shared" si="9"/>
        <v>0</v>
      </c>
      <c r="P70" s="37">
        <f t="shared" si="9"/>
        <v>0</v>
      </c>
      <c r="Q70" s="38">
        <f t="shared" si="9"/>
        <v>0</v>
      </c>
      <c r="R70" s="10"/>
      <c r="S70" s="2"/>
    </row>
    <row r="71" spans="1:19" ht="17.100000000000001" customHeight="1" x14ac:dyDescent="0.25">
      <c r="A71" s="18" t="s">
        <v>29</v>
      </c>
      <c r="B71" s="19">
        <f t="shared" ref="B71:Q71" si="10">B67+B68-B69-B70</f>
        <v>0</v>
      </c>
      <c r="C71" s="20">
        <f t="shared" si="10"/>
        <v>0</v>
      </c>
      <c r="D71" s="20">
        <f t="shared" si="10"/>
        <v>0</v>
      </c>
      <c r="E71" s="20">
        <f t="shared" si="10"/>
        <v>0</v>
      </c>
      <c r="F71" s="20">
        <f t="shared" si="10"/>
        <v>0</v>
      </c>
      <c r="G71" s="20">
        <f t="shared" si="10"/>
        <v>0</v>
      </c>
      <c r="H71" s="20">
        <f t="shared" si="10"/>
        <v>0</v>
      </c>
      <c r="I71" s="20">
        <f t="shared" si="10"/>
        <v>0</v>
      </c>
      <c r="J71" s="20">
        <f t="shared" si="10"/>
        <v>0</v>
      </c>
      <c r="K71" s="20">
        <f t="shared" si="10"/>
        <v>0</v>
      </c>
      <c r="L71" s="20">
        <f t="shared" si="10"/>
        <v>0</v>
      </c>
      <c r="M71" s="20">
        <f t="shared" si="10"/>
        <v>0</v>
      </c>
      <c r="N71" s="20">
        <f t="shared" si="10"/>
        <v>0</v>
      </c>
      <c r="O71" s="20">
        <f t="shared" si="10"/>
        <v>0</v>
      </c>
      <c r="P71" s="20">
        <f t="shared" si="10"/>
        <v>0</v>
      </c>
      <c r="Q71" s="21">
        <f t="shared" si="10"/>
        <v>0</v>
      </c>
      <c r="R71" s="10"/>
      <c r="S71" s="2"/>
    </row>
    <row r="72" spans="1:19" ht="17.100000000000001" customHeight="1" x14ac:dyDescent="0.25">
      <c r="A72" s="2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"/>
      <c r="S72" s="2"/>
    </row>
    <row r="73" spans="1:19" ht="17.100000000000001" customHeight="1" x14ac:dyDescent="0.25">
      <c r="A73" s="18" t="s">
        <v>30</v>
      </c>
      <c r="B73" s="39">
        <f t="shared" ref="B73:Q73" si="11">B71-B65</f>
        <v>-3000</v>
      </c>
      <c r="C73" s="39">
        <f t="shared" si="11"/>
        <v>-4000</v>
      </c>
      <c r="D73" s="39">
        <f t="shared" si="11"/>
        <v>-5000</v>
      </c>
      <c r="E73" s="39">
        <f t="shared" si="11"/>
        <v>0</v>
      </c>
      <c r="F73" s="39">
        <f t="shared" si="11"/>
        <v>0</v>
      </c>
      <c r="G73" s="39">
        <f t="shared" si="11"/>
        <v>0</v>
      </c>
      <c r="H73" s="39">
        <f t="shared" si="11"/>
        <v>0</v>
      </c>
      <c r="I73" s="39">
        <f t="shared" si="11"/>
        <v>0</v>
      </c>
      <c r="J73" s="39">
        <f t="shared" si="11"/>
        <v>0</v>
      </c>
      <c r="K73" s="39">
        <f t="shared" si="11"/>
        <v>0</v>
      </c>
      <c r="L73" s="39">
        <f t="shared" si="11"/>
        <v>0</v>
      </c>
      <c r="M73" s="39">
        <f t="shared" si="11"/>
        <v>0</v>
      </c>
      <c r="N73" s="39">
        <f t="shared" si="11"/>
        <v>0</v>
      </c>
      <c r="O73" s="39">
        <f t="shared" si="11"/>
        <v>0</v>
      </c>
      <c r="P73" s="39">
        <f t="shared" si="11"/>
        <v>0</v>
      </c>
      <c r="Q73" s="39">
        <f t="shared" si="11"/>
        <v>0</v>
      </c>
      <c r="R73" s="10"/>
      <c r="S73" s="2"/>
    </row>
    <row r="74" spans="1:19" ht="17.100000000000001" customHeight="1" x14ac:dyDescent="0.25">
      <c r="A74" s="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"/>
      <c r="S74" s="2"/>
    </row>
    <row r="75" spans="1:19" ht="17.100000000000001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7.100000000000001" customHeight="1" x14ac:dyDescent="0.25">
      <c r="A76" s="2" t="s">
        <v>31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7.100000000000001" customHeight="1" x14ac:dyDescent="0.25">
      <c r="A77" s="2" t="s">
        <v>32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7.100000000000001" customHeight="1" x14ac:dyDescent="0.25">
      <c r="A78" s="2" t="s">
        <v>33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7.100000000000001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7.100000000000001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7.100000000000001" customHeight="1" x14ac:dyDescent="0.25">
      <c r="A81" s="2" t="s">
        <v>34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7.100000000000001" customHeight="1" x14ac:dyDescent="0.25">
      <c r="A82" s="2" t="s">
        <v>35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7.100000000000001" customHeight="1" x14ac:dyDescent="0.25">
      <c r="A83" s="2" t="s">
        <v>36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7.100000000000001" customHeight="1" x14ac:dyDescent="0.25">
      <c r="A84" s="2" t="s">
        <v>37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7.100000000000001" customHeight="1" x14ac:dyDescent="0.25">
      <c r="A85" s="2" t="s">
        <v>38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7.100000000000001" customHeight="1" x14ac:dyDescent="0.25">
      <c r="A86" s="2" t="s">
        <v>39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</sheetData>
  <pageMargins left="0.75" right="0.75" top="1" bottom="1" header="0.5" footer="0.5"/>
  <pageSetup orientation="portrait"/>
  <headerFooter>
    <oddFooter>&amp;L&amp;"Helvetica,Regular"&amp;12&amp;K000000	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tabSelected="1" topLeftCell="A22" workbookViewId="0">
      <selection activeCell="E15" sqref="E15"/>
    </sheetView>
  </sheetViews>
  <sheetFormatPr defaultColWidth="9.140625" defaultRowHeight="12.75" x14ac:dyDescent="0.2"/>
  <cols>
    <col min="1" max="1" width="28.7109375" customWidth="1"/>
    <col min="2" max="2" width="30.7109375" customWidth="1"/>
  </cols>
  <sheetData>
    <row r="1" spans="1:13" ht="15" customHeight="1" x14ac:dyDescent="0.2"/>
    <row r="2" spans="1:13" ht="15" customHeight="1" x14ac:dyDescent="0.25">
      <c r="A2" s="2"/>
    </row>
    <row r="3" spans="1:13" ht="15" customHeight="1" x14ac:dyDescent="0.25">
      <c r="A3" s="1" t="s">
        <v>70</v>
      </c>
      <c r="B3" s="77"/>
      <c r="C3" s="78"/>
      <c r="D3" s="78"/>
      <c r="E3" s="78"/>
      <c r="F3" s="78"/>
      <c r="G3" s="78"/>
      <c r="H3" s="78"/>
      <c r="I3" s="78"/>
      <c r="J3" s="78"/>
      <c r="K3" s="78"/>
      <c r="L3" s="78"/>
      <c r="M3" s="79"/>
    </row>
    <row r="4" spans="1:13" ht="15" customHeight="1" x14ac:dyDescent="0.25">
      <c r="A4" s="2"/>
      <c r="B4" s="80"/>
      <c r="C4" s="81"/>
      <c r="D4" s="81"/>
      <c r="E4" s="81"/>
      <c r="F4" s="81"/>
      <c r="G4" s="81"/>
      <c r="H4" s="81"/>
      <c r="I4" s="81"/>
      <c r="J4" s="81"/>
      <c r="K4" s="81"/>
      <c r="L4" s="81"/>
      <c r="M4" s="82"/>
    </row>
    <row r="5" spans="1:13" ht="15" customHeight="1" x14ac:dyDescent="0.25">
      <c r="A5" s="2"/>
      <c r="B5" s="80"/>
      <c r="C5" s="81"/>
      <c r="D5" s="81"/>
      <c r="E5" s="81"/>
      <c r="F5" s="81"/>
      <c r="G5" s="81"/>
      <c r="H5" s="81"/>
      <c r="I5" s="81"/>
      <c r="J5" s="81"/>
      <c r="K5" s="81"/>
      <c r="L5" s="81"/>
      <c r="M5" s="82"/>
    </row>
    <row r="6" spans="1:13" ht="15" customHeight="1" x14ac:dyDescent="0.25">
      <c r="A6" s="2"/>
      <c r="B6" s="83"/>
      <c r="C6" s="84"/>
      <c r="D6" s="84"/>
      <c r="E6" s="84"/>
      <c r="F6" s="84"/>
      <c r="G6" s="84"/>
      <c r="H6" s="84"/>
      <c r="I6" s="84"/>
      <c r="J6" s="84"/>
      <c r="K6" s="84"/>
      <c r="L6" s="84"/>
      <c r="M6" s="85"/>
    </row>
    <row r="7" spans="1:13" ht="15" customHeight="1" x14ac:dyDescent="0.25">
      <c r="A7" s="1" t="s">
        <v>66</v>
      </c>
      <c r="B7" s="65" t="s">
        <v>40</v>
      </c>
    </row>
    <row r="8" spans="1:13" ht="15" customHeight="1" x14ac:dyDescent="0.25">
      <c r="A8" s="6">
        <v>0.01</v>
      </c>
      <c r="B8" s="41"/>
    </row>
    <row r="9" spans="1:13" ht="15" customHeight="1" x14ac:dyDescent="0.25">
      <c r="A9" s="6">
        <v>0.02</v>
      </c>
      <c r="B9" s="51"/>
    </row>
    <row r="10" spans="1:13" ht="15" customHeight="1" x14ac:dyDescent="0.25">
      <c r="A10" s="6">
        <v>0.05</v>
      </c>
      <c r="B10" s="42"/>
    </row>
    <row r="11" spans="1:13" ht="15" customHeight="1" x14ac:dyDescent="0.25">
      <c r="A11" s="14">
        <v>0.1</v>
      </c>
      <c r="B11" s="42"/>
    </row>
    <row r="12" spans="1:13" ht="15" customHeight="1" x14ac:dyDescent="0.25">
      <c r="A12" s="14">
        <v>0.2</v>
      </c>
      <c r="B12" s="42"/>
    </row>
    <row r="13" spans="1:13" ht="15" customHeight="1" x14ac:dyDescent="0.25">
      <c r="A13" s="14">
        <v>0.5</v>
      </c>
      <c r="B13" s="42"/>
    </row>
    <row r="14" spans="1:13" ht="15" customHeight="1" x14ac:dyDescent="0.25">
      <c r="A14" s="6">
        <v>1</v>
      </c>
      <c r="B14" s="42"/>
    </row>
    <row r="15" spans="1:13" ht="15" customHeight="1" x14ac:dyDescent="0.25">
      <c r="A15" s="6">
        <v>2</v>
      </c>
      <c r="B15" s="42"/>
    </row>
    <row r="16" spans="1:13" ht="15" customHeight="1" x14ac:dyDescent="0.25">
      <c r="A16" s="6">
        <v>5</v>
      </c>
      <c r="B16" s="42"/>
    </row>
    <row r="17" spans="1:2" ht="15" customHeight="1" x14ac:dyDescent="0.25">
      <c r="A17" s="6">
        <v>10</v>
      </c>
      <c r="B17" s="42"/>
    </row>
    <row r="18" spans="1:2" ht="15" customHeight="1" x14ac:dyDescent="0.25">
      <c r="A18" s="6">
        <v>20</v>
      </c>
      <c r="B18" s="43"/>
    </row>
    <row r="19" spans="1:2" ht="15" customHeight="1" x14ac:dyDescent="0.25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25">
      <c r="A20" s="18" t="s">
        <v>41</v>
      </c>
      <c r="B20" s="45">
        <f>500-B19</f>
        <v>500</v>
      </c>
    </row>
    <row r="21" spans="1:2" ht="15" customHeight="1" x14ac:dyDescent="0.25">
      <c r="A21" s="2"/>
      <c r="B21" s="22"/>
    </row>
    <row r="22" spans="1:2" ht="15" customHeight="1" x14ac:dyDescent="0.25">
      <c r="A22" s="1" t="s">
        <v>67</v>
      </c>
      <c r="B22" s="40" t="str">
        <f>B7</f>
        <v>MONDAY</v>
      </c>
    </row>
    <row r="23" spans="1:2" ht="15" customHeight="1" x14ac:dyDescent="0.25">
      <c r="A23" s="6">
        <v>0.01</v>
      </c>
      <c r="B23" s="41"/>
    </row>
    <row r="24" spans="1:2" ht="15" customHeight="1" x14ac:dyDescent="0.25">
      <c r="A24" s="6">
        <v>0.02</v>
      </c>
      <c r="B24" s="51"/>
    </row>
    <row r="25" spans="1:2" ht="15" customHeight="1" x14ac:dyDescent="0.25">
      <c r="A25" s="6">
        <v>0.05</v>
      </c>
      <c r="B25" s="42"/>
    </row>
    <row r="26" spans="1:2" ht="15" customHeight="1" x14ac:dyDescent="0.25">
      <c r="A26" s="14">
        <v>0.1</v>
      </c>
      <c r="B26" s="42"/>
    </row>
    <row r="27" spans="1:2" ht="15" customHeight="1" x14ac:dyDescent="0.25">
      <c r="A27" s="14">
        <v>0.2</v>
      </c>
      <c r="B27" s="42"/>
    </row>
    <row r="28" spans="1:2" ht="15" customHeight="1" x14ac:dyDescent="0.25">
      <c r="A28" s="14">
        <v>0.5</v>
      </c>
      <c r="B28" s="42"/>
    </row>
    <row r="29" spans="1:2" ht="15" customHeight="1" x14ac:dyDescent="0.25">
      <c r="A29" s="6">
        <v>1</v>
      </c>
      <c r="B29" s="42"/>
    </row>
    <row r="30" spans="1:2" ht="15" customHeight="1" x14ac:dyDescent="0.25">
      <c r="A30" s="6">
        <v>2</v>
      </c>
      <c r="B30" s="42"/>
    </row>
    <row r="31" spans="1:2" ht="15" customHeight="1" x14ac:dyDescent="0.25">
      <c r="A31" s="6">
        <v>5</v>
      </c>
      <c r="B31" s="42"/>
    </row>
    <row r="32" spans="1:2" ht="15" customHeight="1" x14ac:dyDescent="0.25">
      <c r="A32" s="6">
        <v>10</v>
      </c>
      <c r="B32" s="42"/>
    </row>
    <row r="33" spans="1:2" ht="15" customHeight="1" x14ac:dyDescent="0.25">
      <c r="A33" s="6">
        <v>20</v>
      </c>
      <c r="B33" s="43"/>
    </row>
    <row r="34" spans="1:2" ht="15" customHeight="1" x14ac:dyDescent="0.25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25">
      <c r="A35" s="2"/>
      <c r="B35" s="22"/>
    </row>
    <row r="36" spans="1:2" ht="15" customHeight="1" x14ac:dyDescent="0.25">
      <c r="A36" s="1" t="s">
        <v>68</v>
      </c>
      <c r="B36" s="40" t="str">
        <f>B7</f>
        <v>MONDAY</v>
      </c>
    </row>
    <row r="37" spans="1:2" ht="15" customHeight="1" x14ac:dyDescent="0.25">
      <c r="A37" s="6">
        <v>0.01</v>
      </c>
      <c r="B37" s="41"/>
    </row>
    <row r="38" spans="1:2" ht="15" customHeight="1" x14ac:dyDescent="0.25">
      <c r="A38" s="6">
        <v>0.02</v>
      </c>
      <c r="B38" s="51"/>
    </row>
    <row r="39" spans="1:2" ht="15" customHeight="1" x14ac:dyDescent="0.25">
      <c r="A39" s="6">
        <v>0.05</v>
      </c>
      <c r="B39" s="42"/>
    </row>
    <row r="40" spans="1:2" ht="15" customHeight="1" x14ac:dyDescent="0.25">
      <c r="A40" s="14">
        <v>0.1</v>
      </c>
      <c r="B40" s="42"/>
    </row>
    <row r="41" spans="1:2" ht="15" customHeight="1" x14ac:dyDescent="0.25">
      <c r="A41" s="14">
        <v>0.2</v>
      </c>
      <c r="B41" s="42"/>
    </row>
    <row r="42" spans="1:2" ht="15" customHeight="1" x14ac:dyDescent="0.25">
      <c r="A42" s="14">
        <v>0.5</v>
      </c>
      <c r="B42" s="42"/>
    </row>
    <row r="43" spans="1:2" ht="15" customHeight="1" x14ac:dyDescent="0.25">
      <c r="A43" s="6">
        <v>1</v>
      </c>
      <c r="B43" s="42"/>
    </row>
    <row r="44" spans="1:2" ht="15" customHeight="1" x14ac:dyDescent="0.25">
      <c r="A44" s="6">
        <v>2</v>
      </c>
      <c r="B44" s="42"/>
    </row>
    <row r="45" spans="1:2" ht="15" customHeight="1" x14ac:dyDescent="0.25">
      <c r="A45" s="6">
        <v>5</v>
      </c>
      <c r="B45" s="42"/>
    </row>
    <row r="46" spans="1:2" ht="15" customHeight="1" x14ac:dyDescent="0.25">
      <c r="A46" s="6">
        <v>10</v>
      </c>
      <c r="B46" s="42"/>
    </row>
    <row r="47" spans="1:2" ht="15" customHeight="1" x14ac:dyDescent="0.25">
      <c r="A47" s="6">
        <v>20</v>
      </c>
      <c r="B47" s="43"/>
    </row>
    <row r="48" spans="1:2" ht="15" customHeight="1" x14ac:dyDescent="0.25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 x14ac:dyDescent="0.25">
      <c r="A49" s="2"/>
      <c r="B49" s="22"/>
    </row>
    <row r="50" spans="1:2" ht="15" customHeight="1" x14ac:dyDescent="0.25">
      <c r="A50" s="1" t="s">
        <v>69</v>
      </c>
      <c r="B50" s="40" t="str">
        <f>B7</f>
        <v>MONDAY</v>
      </c>
    </row>
    <row r="51" spans="1:2" ht="15" customHeight="1" x14ac:dyDescent="0.25">
      <c r="A51" s="74" t="s">
        <v>6</v>
      </c>
      <c r="B51" s="41"/>
    </row>
    <row r="52" spans="1:2" ht="15" customHeight="1" x14ac:dyDescent="0.25">
      <c r="A52" s="75" t="s">
        <v>7</v>
      </c>
      <c r="B52" s="42"/>
    </row>
    <row r="53" spans="1:2" ht="15" customHeight="1" x14ac:dyDescent="0.25">
      <c r="A53" s="75" t="s">
        <v>8</v>
      </c>
      <c r="B53" s="42"/>
    </row>
    <row r="54" spans="1:2" ht="15" customHeight="1" x14ac:dyDescent="0.25">
      <c r="A54" s="75" t="s">
        <v>9</v>
      </c>
      <c r="B54" s="42"/>
    </row>
    <row r="55" spans="1:2" ht="15" customHeight="1" x14ac:dyDescent="0.25">
      <c r="A55" s="75" t="s">
        <v>10</v>
      </c>
      <c r="B55" s="42"/>
    </row>
    <row r="56" spans="1:2" ht="15" customHeight="1" x14ac:dyDescent="0.25">
      <c r="A56" s="75" t="s">
        <v>11</v>
      </c>
      <c r="B56" s="42"/>
    </row>
    <row r="57" spans="1:2" ht="15" customHeight="1" x14ac:dyDescent="0.25">
      <c r="A57" s="75" t="s">
        <v>12</v>
      </c>
      <c r="B57" s="42"/>
    </row>
    <row r="58" spans="1:2" ht="15" customHeight="1" x14ac:dyDescent="0.25">
      <c r="A58" s="76" t="s">
        <v>13</v>
      </c>
      <c r="B58" s="43"/>
    </row>
    <row r="59" spans="1:2" ht="15" customHeight="1" x14ac:dyDescent="0.25">
      <c r="A59" s="18" t="s">
        <v>2</v>
      </c>
      <c r="B59" s="44">
        <f>SUM(B51:B58)</f>
        <v>0</v>
      </c>
    </row>
    <row r="60" spans="1:2" ht="15" customHeight="1" x14ac:dyDescent="0.25">
      <c r="A60" s="2"/>
      <c r="B60" s="23"/>
    </row>
    <row r="61" spans="1:2" ht="15" customHeight="1" x14ac:dyDescent="0.25">
      <c r="A61" s="1" t="s">
        <v>14</v>
      </c>
      <c r="B61" s="40" t="str">
        <f>B7</f>
        <v>MONDAY</v>
      </c>
    </row>
    <row r="62" spans="1:2" ht="15" customHeight="1" x14ac:dyDescent="0.25">
      <c r="A62" s="18" t="s">
        <v>42</v>
      </c>
      <c r="B62" s="46" t="s">
        <v>43</v>
      </c>
    </row>
    <row r="63" spans="1:2" ht="15" customHeight="1" x14ac:dyDescent="0.25">
      <c r="A63" s="18" t="s">
        <v>44</v>
      </c>
      <c r="B63" s="42"/>
    </row>
    <row r="64" spans="1:2" ht="15" customHeight="1" x14ac:dyDescent="0.25">
      <c r="A64" s="18" t="s">
        <v>17</v>
      </c>
      <c r="B64" s="43"/>
    </row>
    <row r="65" spans="1:2" ht="15" customHeight="1" x14ac:dyDescent="0.25">
      <c r="A65" s="18" t="s">
        <v>2</v>
      </c>
      <c r="B65" s="47">
        <f>SUM(B63:B64)</f>
        <v>0</v>
      </c>
    </row>
    <row r="66" spans="1:2" ht="15" customHeight="1" x14ac:dyDescent="0.25">
      <c r="A66" s="2"/>
      <c r="B66" s="23"/>
    </row>
    <row r="67" spans="1:2" ht="15" customHeight="1" x14ac:dyDescent="0.25">
      <c r="A67" s="1" t="s">
        <v>18</v>
      </c>
      <c r="B67" s="40" t="str">
        <f>B7</f>
        <v>MONDAY</v>
      </c>
    </row>
    <row r="68" spans="1:2" ht="15" customHeight="1" x14ac:dyDescent="0.25">
      <c r="A68" s="18" t="s">
        <v>19</v>
      </c>
      <c r="B68" s="48"/>
    </row>
    <row r="69" spans="1:2" ht="15" customHeight="1" x14ac:dyDescent="0.25">
      <c r="A69" s="18" t="s">
        <v>20</v>
      </c>
      <c r="B69" s="42"/>
    </row>
    <row r="70" spans="1:2" ht="15" customHeight="1" x14ac:dyDescent="0.25">
      <c r="A70" s="18" t="s">
        <v>21</v>
      </c>
      <c r="B70" s="42"/>
    </row>
    <row r="71" spans="1:2" ht="15" customHeight="1" x14ac:dyDescent="0.25">
      <c r="A71" s="18" t="s">
        <v>22</v>
      </c>
      <c r="B71" s="42"/>
    </row>
    <row r="72" spans="1:2" ht="15" customHeight="1" x14ac:dyDescent="0.25">
      <c r="A72" s="18" t="s">
        <v>23</v>
      </c>
      <c r="B72" s="42"/>
    </row>
    <row r="73" spans="1:2" ht="15" customHeight="1" x14ac:dyDescent="0.25">
      <c r="A73" s="18" t="s">
        <v>24</v>
      </c>
      <c r="B73" s="43"/>
    </row>
    <row r="74" spans="1:2" ht="15" customHeight="1" x14ac:dyDescent="0.25">
      <c r="A74" s="18" t="s">
        <v>72</v>
      </c>
      <c r="B74" s="86">
        <f>B75-SUM(B68:B73)</f>
        <v>0</v>
      </c>
    </row>
    <row r="75" spans="1:2" ht="15" customHeight="1" x14ac:dyDescent="0.25">
      <c r="A75" s="18" t="s">
        <v>2</v>
      </c>
      <c r="B75" s="87"/>
    </row>
    <row r="76" spans="1:2" ht="15" customHeight="1" x14ac:dyDescent="0.25">
      <c r="A76" s="2"/>
      <c r="B76" s="26"/>
    </row>
    <row r="77" spans="1:2" ht="15" customHeight="1" x14ac:dyDescent="0.25">
      <c r="A77" s="49" t="s">
        <v>25</v>
      </c>
      <c r="B77" s="50">
        <f>B34</f>
        <v>0</v>
      </c>
    </row>
    <row r="78" spans="1:2" ht="15" customHeight="1" x14ac:dyDescent="0.25">
      <c r="A78" s="18" t="s">
        <v>45</v>
      </c>
      <c r="B78" s="51"/>
    </row>
    <row r="79" spans="1:2" ht="15" customHeight="1" x14ac:dyDescent="0.25">
      <c r="A79" s="18" t="s">
        <v>46</v>
      </c>
      <c r="B79" s="52"/>
    </row>
    <row r="80" spans="1:2" ht="15" customHeight="1" x14ac:dyDescent="0.25">
      <c r="A80" s="18" t="s">
        <v>71</v>
      </c>
      <c r="B80" s="66"/>
    </row>
    <row r="81" spans="1:2" ht="15" customHeight="1" x14ac:dyDescent="0.25">
      <c r="A81" s="18" t="s">
        <v>27</v>
      </c>
      <c r="B81" s="53">
        <f>B65</f>
        <v>0</v>
      </c>
    </row>
    <row r="82" spans="1:2" ht="15" customHeight="1" x14ac:dyDescent="0.25">
      <c r="A82" s="18" t="s">
        <v>28</v>
      </c>
      <c r="B82" s="54">
        <f>B59</f>
        <v>0</v>
      </c>
    </row>
    <row r="83" spans="1:2" ht="15" customHeight="1" x14ac:dyDescent="0.25">
      <c r="A83" s="18" t="s">
        <v>29</v>
      </c>
      <c r="B83" s="47">
        <f>B77+B78+B79+B80+B81+B82</f>
        <v>0</v>
      </c>
    </row>
    <row r="84" spans="1:2" ht="15" customHeight="1" x14ac:dyDescent="0.25">
      <c r="A84" s="2"/>
      <c r="B84" s="26"/>
    </row>
    <row r="85" spans="1:2" ht="15" customHeight="1" x14ac:dyDescent="0.25">
      <c r="A85" s="18" t="s">
        <v>30</v>
      </c>
      <c r="B85" s="55">
        <f>B83-B75</f>
        <v>0</v>
      </c>
    </row>
    <row r="86" spans="1:2" ht="15" customHeight="1" x14ac:dyDescent="0.25">
      <c r="A86" s="2"/>
      <c r="B86" s="23"/>
    </row>
    <row r="87" spans="1:2" ht="15" customHeight="1" x14ac:dyDescent="0.25">
      <c r="A87" s="2"/>
      <c r="B87" s="2"/>
    </row>
    <row r="88" spans="1:2" ht="15" customHeight="1" x14ac:dyDescent="0.25">
      <c r="A88" s="2" t="s">
        <v>34</v>
      </c>
      <c r="B88" s="56" t="str">
        <f>B7</f>
        <v>MONDAY</v>
      </c>
    </row>
    <row r="89" spans="1:2" ht="15" customHeight="1" x14ac:dyDescent="0.25">
      <c r="A89" s="18" t="s">
        <v>35</v>
      </c>
      <c r="B89" s="41"/>
    </row>
    <row r="90" spans="1:2" ht="15" customHeight="1" x14ac:dyDescent="0.25">
      <c r="A90" s="18" t="s">
        <v>36</v>
      </c>
      <c r="B90" s="42"/>
    </row>
    <row r="91" spans="1:2" ht="15" customHeight="1" x14ac:dyDescent="0.25">
      <c r="A91" s="18" t="s">
        <v>37</v>
      </c>
      <c r="B91" s="42"/>
    </row>
    <row r="92" spans="1:2" ht="15" customHeight="1" x14ac:dyDescent="0.25">
      <c r="A92" s="18" t="s">
        <v>47</v>
      </c>
      <c r="B92" s="42"/>
    </row>
    <row r="93" spans="1:2" ht="15" customHeight="1" x14ac:dyDescent="0.25">
      <c r="A93" s="18" t="s">
        <v>39</v>
      </c>
      <c r="B93" s="43"/>
    </row>
    <row r="94" spans="1:2" ht="15" customHeight="1" x14ac:dyDescent="0.25">
      <c r="B94" s="57"/>
    </row>
    <row r="95" spans="1:2" ht="15" customHeight="1" x14ac:dyDescent="0.25">
      <c r="A95" s="58" t="s">
        <v>48</v>
      </c>
      <c r="B95" s="59"/>
    </row>
    <row r="96" spans="1:2" ht="15" customHeight="1" x14ac:dyDescent="0.25">
      <c r="A96" s="60" t="s">
        <v>49</v>
      </c>
      <c r="B96" s="41"/>
    </row>
    <row r="97" spans="1:2" ht="15" customHeight="1" x14ac:dyDescent="0.25">
      <c r="A97" s="60" t="s">
        <v>50</v>
      </c>
      <c r="B97" s="42"/>
    </row>
    <row r="98" spans="1:2" ht="15" customHeight="1" x14ac:dyDescent="0.25">
      <c r="A98" s="60" t="s">
        <v>51</v>
      </c>
      <c r="B98" s="42"/>
    </row>
    <row r="99" spans="1:2" ht="15" customHeight="1" x14ac:dyDescent="0.25">
      <c r="A99" s="60" t="s">
        <v>52</v>
      </c>
      <c r="B99" s="42"/>
    </row>
    <row r="100" spans="1:2" ht="15" customHeight="1" x14ac:dyDescent="0.25">
      <c r="A100" s="60" t="s">
        <v>53</v>
      </c>
      <c r="B100" s="42"/>
    </row>
    <row r="101" spans="1:2" ht="15" customHeight="1" x14ac:dyDescent="0.25">
      <c r="A101" s="60" t="s">
        <v>54</v>
      </c>
      <c r="B101" s="42"/>
    </row>
    <row r="102" spans="1:2" ht="15" customHeight="1" x14ac:dyDescent="0.25">
      <c r="A102" s="60" t="s">
        <v>55</v>
      </c>
      <c r="B102" s="42"/>
    </row>
    <row r="103" spans="1:2" ht="15" customHeight="1" x14ac:dyDescent="0.25">
      <c r="A103" s="60" t="s">
        <v>56</v>
      </c>
      <c r="B103" s="42"/>
    </row>
    <row r="104" spans="1:2" ht="15" customHeight="1" x14ac:dyDescent="0.25">
      <c r="A104" s="60" t="s">
        <v>57</v>
      </c>
      <c r="B104" s="42"/>
    </row>
    <row r="105" spans="1:2" ht="15" customHeight="1" x14ac:dyDescent="0.25">
      <c r="A105" s="60" t="s">
        <v>58</v>
      </c>
      <c r="B105" s="43"/>
    </row>
    <row r="106" spans="1:2" ht="15" customHeight="1" x14ac:dyDescent="0.25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topLeftCell="A82" workbookViewId="0">
      <selection activeCell="B75" sqref="B75"/>
    </sheetView>
  </sheetViews>
  <sheetFormatPr defaultColWidth="9.140625" defaultRowHeight="12.75" x14ac:dyDescent="0.2"/>
  <cols>
    <col min="1" max="1" width="28.7109375" customWidth="1"/>
    <col min="2" max="2" width="20.85546875" customWidth="1"/>
  </cols>
  <sheetData>
    <row r="1" spans="1:13" ht="15" customHeight="1" x14ac:dyDescent="0.2"/>
    <row r="2" spans="1:13" ht="15" customHeight="1" x14ac:dyDescent="0.25">
      <c r="A2" s="2"/>
    </row>
    <row r="3" spans="1:13" ht="15" customHeight="1" x14ac:dyDescent="0.25">
      <c r="A3" s="64" t="s">
        <v>70</v>
      </c>
      <c r="B3" s="77"/>
      <c r="C3" s="78"/>
      <c r="D3" s="78"/>
      <c r="E3" s="78"/>
      <c r="F3" s="78"/>
      <c r="G3" s="78"/>
      <c r="H3" s="78"/>
      <c r="I3" s="78"/>
      <c r="J3" s="78"/>
      <c r="K3" s="78"/>
      <c r="L3" s="78"/>
      <c r="M3" s="79"/>
    </row>
    <row r="4" spans="1:13" ht="15" customHeight="1" x14ac:dyDescent="0.25">
      <c r="A4" s="2"/>
      <c r="B4" s="80"/>
      <c r="C4" s="81"/>
      <c r="D4" s="81"/>
      <c r="E4" s="81"/>
      <c r="F4" s="81"/>
      <c r="G4" s="81"/>
      <c r="H4" s="81"/>
      <c r="I4" s="81"/>
      <c r="J4" s="81"/>
      <c r="K4" s="81"/>
      <c r="L4" s="81"/>
      <c r="M4" s="82"/>
    </row>
    <row r="5" spans="1:13" ht="15" customHeight="1" x14ac:dyDescent="0.25">
      <c r="A5" s="2"/>
      <c r="B5" s="80"/>
      <c r="C5" s="81"/>
      <c r="D5" s="81"/>
      <c r="E5" s="81"/>
      <c r="F5" s="81"/>
      <c r="G5" s="81"/>
      <c r="H5" s="81"/>
      <c r="I5" s="81"/>
      <c r="J5" s="81"/>
      <c r="K5" s="81"/>
      <c r="L5" s="81"/>
      <c r="M5" s="82"/>
    </row>
    <row r="6" spans="1:13" ht="15" customHeight="1" x14ac:dyDescent="0.25">
      <c r="A6" s="2"/>
      <c r="B6" s="83"/>
      <c r="C6" s="84"/>
      <c r="D6" s="84"/>
      <c r="E6" s="84"/>
      <c r="F6" s="84"/>
      <c r="G6" s="84"/>
      <c r="H6" s="84"/>
      <c r="I6" s="84"/>
      <c r="J6" s="84"/>
      <c r="K6" s="84"/>
      <c r="L6" s="84"/>
      <c r="M6" s="85"/>
    </row>
    <row r="7" spans="1:13" ht="15" customHeight="1" x14ac:dyDescent="0.25">
      <c r="A7" s="1" t="s">
        <v>66</v>
      </c>
      <c r="B7" s="65" t="s">
        <v>60</v>
      </c>
    </row>
    <row r="8" spans="1:13" ht="15" customHeight="1" x14ac:dyDescent="0.25">
      <c r="A8" s="6">
        <v>0.01</v>
      </c>
      <c r="B8" s="41"/>
    </row>
    <row r="9" spans="1:13" ht="15" customHeight="1" x14ac:dyDescent="0.25">
      <c r="A9" s="6">
        <v>0.02</v>
      </c>
      <c r="B9" s="51"/>
    </row>
    <row r="10" spans="1:13" ht="15" customHeight="1" x14ac:dyDescent="0.25">
      <c r="A10" s="6">
        <v>0.05</v>
      </c>
      <c r="B10" s="42"/>
    </row>
    <row r="11" spans="1:13" ht="15" customHeight="1" x14ac:dyDescent="0.25">
      <c r="A11" s="14">
        <v>0.1</v>
      </c>
      <c r="B11" s="42"/>
    </row>
    <row r="12" spans="1:13" ht="15" customHeight="1" x14ac:dyDescent="0.25">
      <c r="A12" s="14">
        <v>0.2</v>
      </c>
      <c r="B12" s="42"/>
    </row>
    <row r="13" spans="1:13" ht="15" customHeight="1" x14ac:dyDescent="0.25">
      <c r="A13" s="14">
        <v>0.5</v>
      </c>
      <c r="B13" s="42"/>
    </row>
    <row r="14" spans="1:13" ht="15" customHeight="1" x14ac:dyDescent="0.25">
      <c r="A14" s="6">
        <v>1</v>
      </c>
      <c r="B14" s="42"/>
    </row>
    <row r="15" spans="1:13" ht="15" customHeight="1" x14ac:dyDescent="0.25">
      <c r="A15" s="6">
        <v>2</v>
      </c>
      <c r="B15" s="42"/>
    </row>
    <row r="16" spans="1:13" ht="15" customHeight="1" x14ac:dyDescent="0.25">
      <c r="A16" s="6">
        <v>5</v>
      </c>
      <c r="B16" s="42"/>
    </row>
    <row r="17" spans="1:2" ht="15" customHeight="1" x14ac:dyDescent="0.25">
      <c r="A17" s="6">
        <v>10</v>
      </c>
      <c r="B17" s="42"/>
    </row>
    <row r="18" spans="1:2" ht="15" customHeight="1" x14ac:dyDescent="0.25">
      <c r="A18" s="6">
        <v>20</v>
      </c>
      <c r="B18" s="43"/>
    </row>
    <row r="19" spans="1:2" ht="15" customHeight="1" x14ac:dyDescent="0.25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25">
      <c r="A20" s="18" t="s">
        <v>41</v>
      </c>
      <c r="B20" s="45">
        <f>500-B19</f>
        <v>500</v>
      </c>
    </row>
    <row r="21" spans="1:2" ht="15" customHeight="1" x14ac:dyDescent="0.25">
      <c r="A21" s="2"/>
      <c r="B21" s="22"/>
    </row>
    <row r="22" spans="1:2" ht="15" customHeight="1" x14ac:dyDescent="0.25">
      <c r="A22" s="1" t="s">
        <v>67</v>
      </c>
      <c r="B22" s="40" t="str">
        <f>B7</f>
        <v>TUESDAY</v>
      </c>
    </row>
    <row r="23" spans="1:2" ht="15" customHeight="1" x14ac:dyDescent="0.25">
      <c r="A23" s="6">
        <v>0.01</v>
      </c>
      <c r="B23" s="41"/>
    </row>
    <row r="24" spans="1:2" ht="15" customHeight="1" x14ac:dyDescent="0.25">
      <c r="A24" s="6">
        <v>0.02</v>
      </c>
      <c r="B24" s="51"/>
    </row>
    <row r="25" spans="1:2" ht="15" customHeight="1" x14ac:dyDescent="0.25">
      <c r="A25" s="6">
        <v>0.05</v>
      </c>
      <c r="B25" s="42"/>
    </row>
    <row r="26" spans="1:2" ht="15" customHeight="1" x14ac:dyDescent="0.25">
      <c r="A26" s="14">
        <v>0.1</v>
      </c>
      <c r="B26" s="42"/>
    </row>
    <row r="27" spans="1:2" ht="15" customHeight="1" x14ac:dyDescent="0.25">
      <c r="A27" s="14">
        <v>0.2</v>
      </c>
      <c r="B27" s="42"/>
    </row>
    <row r="28" spans="1:2" ht="15" customHeight="1" x14ac:dyDescent="0.25">
      <c r="A28" s="14">
        <v>0.5</v>
      </c>
      <c r="B28" s="42"/>
    </row>
    <row r="29" spans="1:2" ht="15" customHeight="1" x14ac:dyDescent="0.25">
      <c r="A29" s="6">
        <v>1</v>
      </c>
      <c r="B29" s="42"/>
    </row>
    <row r="30" spans="1:2" ht="15" customHeight="1" x14ac:dyDescent="0.25">
      <c r="A30" s="6">
        <v>2</v>
      </c>
      <c r="B30" s="42"/>
    </row>
    <row r="31" spans="1:2" ht="15" customHeight="1" x14ac:dyDescent="0.25">
      <c r="A31" s="6">
        <v>5</v>
      </c>
      <c r="B31" s="42"/>
    </row>
    <row r="32" spans="1:2" ht="15" customHeight="1" x14ac:dyDescent="0.25">
      <c r="A32" s="6">
        <v>10</v>
      </c>
      <c r="B32" s="42"/>
    </row>
    <row r="33" spans="1:2" ht="15" customHeight="1" x14ac:dyDescent="0.25">
      <c r="A33" s="6">
        <v>20</v>
      </c>
      <c r="B33" s="43"/>
    </row>
    <row r="34" spans="1:2" ht="15" customHeight="1" x14ac:dyDescent="0.25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25">
      <c r="A35" s="2"/>
      <c r="B35" s="22"/>
    </row>
    <row r="36" spans="1:2" ht="15" customHeight="1" x14ac:dyDescent="0.25">
      <c r="A36" s="1" t="s">
        <v>68</v>
      </c>
      <c r="B36" s="40" t="str">
        <f>B7</f>
        <v>TUESDAY</v>
      </c>
    </row>
    <row r="37" spans="1:2" ht="15" customHeight="1" x14ac:dyDescent="0.25">
      <c r="A37" s="6">
        <v>0.01</v>
      </c>
      <c r="B37" s="41"/>
    </row>
    <row r="38" spans="1:2" ht="15" customHeight="1" x14ac:dyDescent="0.25">
      <c r="A38" s="6">
        <v>0.02</v>
      </c>
      <c r="B38" s="51"/>
    </row>
    <row r="39" spans="1:2" ht="15" customHeight="1" x14ac:dyDescent="0.25">
      <c r="A39" s="6">
        <v>0.05</v>
      </c>
      <c r="B39" s="42"/>
    </row>
    <row r="40" spans="1:2" ht="15" customHeight="1" x14ac:dyDescent="0.25">
      <c r="A40" s="14">
        <v>0.1</v>
      </c>
      <c r="B40" s="42"/>
    </row>
    <row r="41" spans="1:2" ht="15" customHeight="1" x14ac:dyDescent="0.25">
      <c r="A41" s="14">
        <v>0.2</v>
      </c>
      <c r="B41" s="42"/>
    </row>
    <row r="42" spans="1:2" ht="15" customHeight="1" x14ac:dyDescent="0.25">
      <c r="A42" s="14">
        <v>0.5</v>
      </c>
      <c r="B42" s="42"/>
    </row>
    <row r="43" spans="1:2" ht="15" customHeight="1" x14ac:dyDescent="0.25">
      <c r="A43" s="6">
        <v>1</v>
      </c>
      <c r="B43" s="42"/>
    </row>
    <row r="44" spans="1:2" ht="15" customHeight="1" x14ac:dyDescent="0.25">
      <c r="A44" s="6">
        <v>2</v>
      </c>
      <c r="B44" s="42"/>
    </row>
    <row r="45" spans="1:2" ht="15" customHeight="1" x14ac:dyDescent="0.25">
      <c r="A45" s="6">
        <v>5</v>
      </c>
      <c r="B45" s="42"/>
    </row>
    <row r="46" spans="1:2" ht="15" customHeight="1" x14ac:dyDescent="0.25">
      <c r="A46" s="6">
        <v>10</v>
      </c>
      <c r="B46" s="42"/>
    </row>
    <row r="47" spans="1:2" ht="15" customHeight="1" x14ac:dyDescent="0.25">
      <c r="A47" s="6">
        <v>20</v>
      </c>
      <c r="B47" s="43"/>
    </row>
    <row r="48" spans="1:2" ht="15" customHeight="1" x14ac:dyDescent="0.25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 x14ac:dyDescent="0.25">
      <c r="A49" s="2"/>
      <c r="B49" s="22"/>
    </row>
    <row r="50" spans="1:2" ht="15" customHeight="1" x14ac:dyDescent="0.25">
      <c r="A50" s="1" t="s">
        <v>69</v>
      </c>
      <c r="B50" s="40" t="str">
        <f>B7</f>
        <v>TUESDAY</v>
      </c>
    </row>
    <row r="51" spans="1:2" ht="15" customHeight="1" x14ac:dyDescent="0.25">
      <c r="A51" s="74" t="s">
        <v>6</v>
      </c>
      <c r="B51" s="41"/>
    </row>
    <row r="52" spans="1:2" ht="15" customHeight="1" x14ac:dyDescent="0.25">
      <c r="A52" s="75" t="s">
        <v>7</v>
      </c>
      <c r="B52" s="42"/>
    </row>
    <row r="53" spans="1:2" ht="15" customHeight="1" x14ac:dyDescent="0.25">
      <c r="A53" s="75" t="s">
        <v>8</v>
      </c>
      <c r="B53" s="42"/>
    </row>
    <row r="54" spans="1:2" ht="15" customHeight="1" x14ac:dyDescent="0.25">
      <c r="A54" s="75" t="s">
        <v>9</v>
      </c>
      <c r="B54" s="42"/>
    </row>
    <row r="55" spans="1:2" ht="15" customHeight="1" x14ac:dyDescent="0.25">
      <c r="A55" s="75" t="s">
        <v>10</v>
      </c>
      <c r="B55" s="42"/>
    </row>
    <row r="56" spans="1:2" ht="15" customHeight="1" x14ac:dyDescent="0.25">
      <c r="A56" s="75" t="s">
        <v>11</v>
      </c>
      <c r="B56" s="42"/>
    </row>
    <row r="57" spans="1:2" ht="15" customHeight="1" x14ac:dyDescent="0.25">
      <c r="A57" s="75" t="s">
        <v>12</v>
      </c>
      <c r="B57" s="42"/>
    </row>
    <row r="58" spans="1:2" ht="15" customHeight="1" x14ac:dyDescent="0.25">
      <c r="A58" s="76" t="s">
        <v>13</v>
      </c>
      <c r="B58" s="43"/>
    </row>
    <row r="59" spans="1:2" ht="15" customHeight="1" x14ac:dyDescent="0.25">
      <c r="A59" s="18" t="s">
        <v>2</v>
      </c>
      <c r="B59" s="44">
        <f>SUM(B51:B58)</f>
        <v>0</v>
      </c>
    </row>
    <row r="60" spans="1:2" ht="15" customHeight="1" x14ac:dyDescent="0.25">
      <c r="A60" s="2"/>
      <c r="B60" s="23"/>
    </row>
    <row r="61" spans="1:2" ht="15" customHeight="1" x14ac:dyDescent="0.25">
      <c r="A61" s="1" t="s">
        <v>14</v>
      </c>
      <c r="B61" s="40" t="str">
        <f>B7</f>
        <v>TUESDAY</v>
      </c>
    </row>
    <row r="62" spans="1:2" ht="15" customHeight="1" x14ac:dyDescent="0.25">
      <c r="A62" s="18" t="s">
        <v>42</v>
      </c>
      <c r="B62" s="46" t="s">
        <v>43</v>
      </c>
    </row>
    <row r="63" spans="1:2" ht="15" customHeight="1" x14ac:dyDescent="0.25">
      <c r="A63" s="18" t="s">
        <v>44</v>
      </c>
      <c r="B63" s="42"/>
    </row>
    <row r="64" spans="1:2" ht="15" customHeight="1" x14ac:dyDescent="0.25">
      <c r="A64" s="18" t="s">
        <v>17</v>
      </c>
      <c r="B64" s="43"/>
    </row>
    <row r="65" spans="1:2" ht="15" customHeight="1" x14ac:dyDescent="0.25">
      <c r="A65" s="18" t="s">
        <v>2</v>
      </c>
      <c r="B65" s="47">
        <f>SUM(B63:B64)</f>
        <v>0</v>
      </c>
    </row>
    <row r="66" spans="1:2" ht="15" customHeight="1" x14ac:dyDescent="0.25">
      <c r="A66" s="2"/>
      <c r="B66" s="23"/>
    </row>
    <row r="67" spans="1:2" ht="15" customHeight="1" x14ac:dyDescent="0.25">
      <c r="A67" s="1" t="s">
        <v>18</v>
      </c>
      <c r="B67" s="40" t="str">
        <f>B7</f>
        <v>TUESDAY</v>
      </c>
    </row>
    <row r="68" spans="1:2" ht="15" customHeight="1" x14ac:dyDescent="0.25">
      <c r="A68" s="18" t="s">
        <v>19</v>
      </c>
      <c r="B68" s="48"/>
    </row>
    <row r="69" spans="1:2" ht="15" customHeight="1" x14ac:dyDescent="0.25">
      <c r="A69" s="18" t="s">
        <v>20</v>
      </c>
      <c r="B69" s="42"/>
    </row>
    <row r="70" spans="1:2" ht="15" customHeight="1" x14ac:dyDescent="0.25">
      <c r="A70" s="18" t="s">
        <v>21</v>
      </c>
      <c r="B70" s="42"/>
    </row>
    <row r="71" spans="1:2" ht="15" customHeight="1" x14ac:dyDescent="0.25">
      <c r="A71" s="18" t="s">
        <v>22</v>
      </c>
      <c r="B71" s="42"/>
    </row>
    <row r="72" spans="1:2" ht="15" customHeight="1" x14ac:dyDescent="0.25">
      <c r="A72" s="18" t="s">
        <v>23</v>
      </c>
      <c r="B72" s="42"/>
    </row>
    <row r="73" spans="1:2" ht="15" customHeight="1" x14ac:dyDescent="0.25">
      <c r="A73" s="18" t="s">
        <v>24</v>
      </c>
      <c r="B73" s="43"/>
    </row>
    <row r="74" spans="1:2" ht="15" customHeight="1" x14ac:dyDescent="0.25">
      <c r="A74" s="18" t="s">
        <v>72</v>
      </c>
      <c r="B74" s="86">
        <f>B75-SUM(B68:B73)</f>
        <v>0</v>
      </c>
    </row>
    <row r="75" spans="1:2" ht="15" customHeight="1" x14ac:dyDescent="0.25">
      <c r="A75" s="18" t="s">
        <v>2</v>
      </c>
      <c r="B75" s="87"/>
    </row>
    <row r="76" spans="1:2" ht="15" customHeight="1" x14ac:dyDescent="0.25">
      <c r="A76" s="2"/>
      <c r="B76" s="26"/>
    </row>
    <row r="77" spans="1:2" ht="15" customHeight="1" x14ac:dyDescent="0.25">
      <c r="A77" s="49" t="s">
        <v>25</v>
      </c>
      <c r="B77" s="50">
        <f>B34</f>
        <v>0</v>
      </c>
    </row>
    <row r="78" spans="1:2" ht="15" customHeight="1" x14ac:dyDescent="0.25">
      <c r="A78" s="18" t="s">
        <v>45</v>
      </c>
      <c r="B78" s="51"/>
    </row>
    <row r="79" spans="1:2" ht="15" customHeight="1" x14ac:dyDescent="0.25">
      <c r="A79" s="18" t="s">
        <v>46</v>
      </c>
      <c r="B79" s="52"/>
    </row>
    <row r="80" spans="1:2" ht="15" customHeight="1" x14ac:dyDescent="0.25">
      <c r="A80" s="18" t="s">
        <v>71</v>
      </c>
      <c r="B80" s="66"/>
    </row>
    <row r="81" spans="1:2" ht="15" customHeight="1" x14ac:dyDescent="0.25">
      <c r="A81" s="18" t="s">
        <v>27</v>
      </c>
      <c r="B81" s="53">
        <f>B65</f>
        <v>0</v>
      </c>
    </row>
    <row r="82" spans="1:2" ht="15" customHeight="1" x14ac:dyDescent="0.25">
      <c r="A82" s="18" t="s">
        <v>28</v>
      </c>
      <c r="B82" s="54">
        <f>B59</f>
        <v>0</v>
      </c>
    </row>
    <row r="83" spans="1:2" ht="15" customHeight="1" x14ac:dyDescent="0.25">
      <c r="A83" s="18" t="s">
        <v>29</v>
      </c>
      <c r="B83" s="47">
        <f>B77+B78+B79+B80+B81+B82</f>
        <v>0</v>
      </c>
    </row>
    <row r="84" spans="1:2" ht="15" customHeight="1" x14ac:dyDescent="0.25">
      <c r="A84" s="2"/>
      <c r="B84" s="26"/>
    </row>
    <row r="85" spans="1:2" ht="15" customHeight="1" x14ac:dyDescent="0.25">
      <c r="A85" s="18" t="s">
        <v>30</v>
      </c>
      <c r="B85" s="55">
        <f>B83-B75</f>
        <v>0</v>
      </c>
    </row>
    <row r="86" spans="1:2" ht="15" customHeight="1" x14ac:dyDescent="0.25">
      <c r="A86" s="2"/>
      <c r="B86" s="23"/>
    </row>
    <row r="87" spans="1:2" ht="15" customHeight="1" x14ac:dyDescent="0.25">
      <c r="A87" s="2"/>
      <c r="B87" s="2"/>
    </row>
    <row r="88" spans="1:2" ht="15" customHeight="1" x14ac:dyDescent="0.25">
      <c r="A88" s="2" t="s">
        <v>34</v>
      </c>
      <c r="B88" s="56" t="str">
        <f>B7</f>
        <v>TUESDAY</v>
      </c>
    </row>
    <row r="89" spans="1:2" ht="15" customHeight="1" x14ac:dyDescent="0.25">
      <c r="A89" s="18" t="s">
        <v>35</v>
      </c>
      <c r="B89" s="41"/>
    </row>
    <row r="90" spans="1:2" ht="15" customHeight="1" x14ac:dyDescent="0.25">
      <c r="A90" s="18" t="s">
        <v>36</v>
      </c>
      <c r="B90" s="42"/>
    </row>
    <row r="91" spans="1:2" ht="15" customHeight="1" x14ac:dyDescent="0.25">
      <c r="A91" s="18" t="s">
        <v>37</v>
      </c>
      <c r="B91" s="42"/>
    </row>
    <row r="92" spans="1:2" ht="15" customHeight="1" x14ac:dyDescent="0.25">
      <c r="A92" s="18" t="s">
        <v>47</v>
      </c>
      <c r="B92" s="42"/>
    </row>
    <row r="93" spans="1:2" ht="15" customHeight="1" x14ac:dyDescent="0.25">
      <c r="A93" s="18" t="s">
        <v>39</v>
      </c>
      <c r="B93" s="43"/>
    </row>
    <row r="94" spans="1:2" ht="15" customHeight="1" x14ac:dyDescent="0.25">
      <c r="B94" s="57"/>
    </row>
    <row r="95" spans="1:2" ht="15" customHeight="1" x14ac:dyDescent="0.25">
      <c r="A95" s="58" t="s">
        <v>48</v>
      </c>
      <c r="B95" s="59"/>
    </row>
    <row r="96" spans="1:2" ht="15" customHeight="1" x14ac:dyDescent="0.25">
      <c r="A96" s="60" t="s">
        <v>49</v>
      </c>
      <c r="B96" s="41"/>
    </row>
    <row r="97" spans="1:2" ht="15" customHeight="1" x14ac:dyDescent="0.25">
      <c r="A97" s="60" t="s">
        <v>50</v>
      </c>
      <c r="B97" s="42"/>
    </row>
    <row r="98" spans="1:2" ht="15" customHeight="1" x14ac:dyDescent="0.25">
      <c r="A98" s="60" t="s">
        <v>51</v>
      </c>
      <c r="B98" s="42"/>
    </row>
    <row r="99" spans="1:2" ht="15" customHeight="1" x14ac:dyDescent="0.25">
      <c r="A99" s="60" t="s">
        <v>52</v>
      </c>
      <c r="B99" s="42"/>
    </row>
    <row r="100" spans="1:2" ht="15" customHeight="1" x14ac:dyDescent="0.25">
      <c r="A100" s="60" t="s">
        <v>53</v>
      </c>
      <c r="B100" s="42"/>
    </row>
    <row r="101" spans="1:2" ht="15" customHeight="1" x14ac:dyDescent="0.25">
      <c r="A101" s="60" t="s">
        <v>54</v>
      </c>
      <c r="B101" s="42"/>
    </row>
    <row r="102" spans="1:2" ht="15" customHeight="1" x14ac:dyDescent="0.25">
      <c r="A102" s="60" t="s">
        <v>55</v>
      </c>
      <c r="B102" s="42"/>
    </row>
    <row r="103" spans="1:2" ht="15" customHeight="1" x14ac:dyDescent="0.25">
      <c r="A103" s="60" t="s">
        <v>56</v>
      </c>
      <c r="B103" s="42"/>
    </row>
    <row r="104" spans="1:2" ht="15" customHeight="1" x14ac:dyDescent="0.25">
      <c r="A104" s="60" t="s">
        <v>57</v>
      </c>
      <c r="B104" s="42"/>
    </row>
    <row r="105" spans="1:2" ht="15" customHeight="1" x14ac:dyDescent="0.25">
      <c r="A105" s="60" t="s">
        <v>58</v>
      </c>
      <c r="B105" s="43"/>
    </row>
    <row r="106" spans="1:2" ht="15" customHeight="1" x14ac:dyDescent="0.25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topLeftCell="A64" workbookViewId="0">
      <selection activeCell="D62" sqref="D62"/>
    </sheetView>
  </sheetViews>
  <sheetFormatPr defaultColWidth="9.140625" defaultRowHeight="12.75" x14ac:dyDescent="0.2"/>
  <cols>
    <col min="1" max="1" width="28.7109375" customWidth="1"/>
    <col min="2" max="2" width="20.85546875" customWidth="1"/>
  </cols>
  <sheetData>
    <row r="1" spans="1:13" ht="15" customHeight="1" x14ac:dyDescent="0.2"/>
    <row r="2" spans="1:13" ht="15" customHeight="1" x14ac:dyDescent="0.25">
      <c r="A2" s="2"/>
    </row>
    <row r="3" spans="1:13" ht="15" customHeight="1" x14ac:dyDescent="0.25">
      <c r="A3" s="64" t="s">
        <v>70</v>
      </c>
      <c r="B3" s="77"/>
      <c r="C3" s="78"/>
      <c r="D3" s="78"/>
      <c r="E3" s="78"/>
      <c r="F3" s="78"/>
      <c r="G3" s="78"/>
      <c r="H3" s="78"/>
      <c r="I3" s="78"/>
      <c r="J3" s="78"/>
      <c r="K3" s="78"/>
      <c r="L3" s="78"/>
      <c r="M3" s="79"/>
    </row>
    <row r="4" spans="1:13" ht="15" customHeight="1" x14ac:dyDescent="0.25">
      <c r="A4" s="2"/>
      <c r="B4" s="80"/>
      <c r="C4" s="81"/>
      <c r="D4" s="81"/>
      <c r="E4" s="81"/>
      <c r="F4" s="81"/>
      <c r="G4" s="81"/>
      <c r="H4" s="81"/>
      <c r="I4" s="81"/>
      <c r="J4" s="81"/>
      <c r="K4" s="81"/>
      <c r="L4" s="81"/>
      <c r="M4" s="82"/>
    </row>
    <row r="5" spans="1:13" ht="15" customHeight="1" x14ac:dyDescent="0.25">
      <c r="A5" s="2"/>
      <c r="B5" s="80"/>
      <c r="C5" s="81"/>
      <c r="D5" s="81"/>
      <c r="E5" s="81"/>
      <c r="F5" s="81"/>
      <c r="G5" s="81"/>
      <c r="H5" s="81"/>
      <c r="I5" s="81"/>
      <c r="J5" s="81"/>
      <c r="K5" s="81"/>
      <c r="L5" s="81"/>
      <c r="M5" s="82"/>
    </row>
    <row r="6" spans="1:13" ht="15" customHeight="1" x14ac:dyDescent="0.25">
      <c r="A6" s="2"/>
      <c r="B6" s="83"/>
      <c r="C6" s="84"/>
      <c r="D6" s="84"/>
      <c r="E6" s="84"/>
      <c r="F6" s="84"/>
      <c r="G6" s="84"/>
      <c r="H6" s="84"/>
      <c r="I6" s="84"/>
      <c r="J6" s="84"/>
      <c r="K6" s="84"/>
      <c r="L6" s="84"/>
      <c r="M6" s="85"/>
    </row>
    <row r="7" spans="1:13" ht="15" customHeight="1" x14ac:dyDescent="0.25">
      <c r="A7" s="1" t="s">
        <v>66</v>
      </c>
      <c r="B7" s="65" t="s">
        <v>61</v>
      </c>
    </row>
    <row r="8" spans="1:13" ht="15" customHeight="1" x14ac:dyDescent="0.25">
      <c r="A8" s="6">
        <v>0.01</v>
      </c>
      <c r="B8" s="41"/>
    </row>
    <row r="9" spans="1:13" ht="15" customHeight="1" x14ac:dyDescent="0.25">
      <c r="A9" s="6">
        <v>0.02</v>
      </c>
      <c r="B9" s="51"/>
    </row>
    <row r="10" spans="1:13" ht="15" customHeight="1" x14ac:dyDescent="0.25">
      <c r="A10" s="6">
        <v>0.05</v>
      </c>
      <c r="B10" s="42"/>
    </row>
    <row r="11" spans="1:13" ht="15" customHeight="1" x14ac:dyDescent="0.25">
      <c r="A11" s="14">
        <v>0.1</v>
      </c>
      <c r="B11" s="42"/>
    </row>
    <row r="12" spans="1:13" ht="15" customHeight="1" x14ac:dyDescent="0.25">
      <c r="A12" s="14">
        <v>0.2</v>
      </c>
      <c r="B12" s="42"/>
    </row>
    <row r="13" spans="1:13" ht="15" customHeight="1" x14ac:dyDescent="0.25">
      <c r="A13" s="14">
        <v>0.5</v>
      </c>
      <c r="B13" s="42"/>
    </row>
    <row r="14" spans="1:13" ht="15" customHeight="1" x14ac:dyDescent="0.25">
      <c r="A14" s="6">
        <v>1</v>
      </c>
      <c r="B14" s="42"/>
    </row>
    <row r="15" spans="1:13" ht="15" customHeight="1" x14ac:dyDescent="0.25">
      <c r="A15" s="6">
        <v>2</v>
      </c>
      <c r="B15" s="42"/>
    </row>
    <row r="16" spans="1:13" ht="15" customHeight="1" x14ac:dyDescent="0.25">
      <c r="A16" s="6">
        <v>5</v>
      </c>
      <c r="B16" s="42"/>
    </row>
    <row r="17" spans="1:2" ht="15" customHeight="1" x14ac:dyDescent="0.25">
      <c r="A17" s="6">
        <v>10</v>
      </c>
      <c r="B17" s="42"/>
    </row>
    <row r="18" spans="1:2" ht="15" customHeight="1" x14ac:dyDescent="0.25">
      <c r="A18" s="6">
        <v>20</v>
      </c>
      <c r="B18" s="43"/>
    </row>
    <row r="19" spans="1:2" ht="15" customHeight="1" x14ac:dyDescent="0.25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25">
      <c r="A20" s="18" t="s">
        <v>41</v>
      </c>
      <c r="B20" s="45">
        <f>500-B19</f>
        <v>500</v>
      </c>
    </row>
    <row r="21" spans="1:2" ht="15" customHeight="1" x14ac:dyDescent="0.25">
      <c r="A21" s="2"/>
      <c r="B21" s="22"/>
    </row>
    <row r="22" spans="1:2" ht="15" customHeight="1" x14ac:dyDescent="0.25">
      <c r="A22" s="1" t="s">
        <v>67</v>
      </c>
      <c r="B22" s="40" t="str">
        <f>B7</f>
        <v>WEDNESDAY</v>
      </c>
    </row>
    <row r="23" spans="1:2" ht="15" customHeight="1" x14ac:dyDescent="0.25">
      <c r="A23" s="6">
        <v>0.01</v>
      </c>
      <c r="B23" s="41"/>
    </row>
    <row r="24" spans="1:2" ht="15" customHeight="1" x14ac:dyDescent="0.25">
      <c r="A24" s="6">
        <v>0.02</v>
      </c>
      <c r="B24" s="51"/>
    </row>
    <row r="25" spans="1:2" ht="15" customHeight="1" x14ac:dyDescent="0.25">
      <c r="A25" s="6">
        <v>0.05</v>
      </c>
      <c r="B25" s="42"/>
    </row>
    <row r="26" spans="1:2" ht="15" customHeight="1" x14ac:dyDescent="0.25">
      <c r="A26" s="14">
        <v>0.1</v>
      </c>
      <c r="B26" s="42"/>
    </row>
    <row r="27" spans="1:2" ht="15" customHeight="1" x14ac:dyDescent="0.25">
      <c r="A27" s="14">
        <v>0.2</v>
      </c>
      <c r="B27" s="42"/>
    </row>
    <row r="28" spans="1:2" ht="15" customHeight="1" x14ac:dyDescent="0.25">
      <c r="A28" s="14">
        <v>0.5</v>
      </c>
      <c r="B28" s="42"/>
    </row>
    <row r="29" spans="1:2" ht="15" customHeight="1" x14ac:dyDescent="0.25">
      <c r="A29" s="6">
        <v>1</v>
      </c>
      <c r="B29" s="42"/>
    </row>
    <row r="30" spans="1:2" ht="15" customHeight="1" x14ac:dyDescent="0.25">
      <c r="A30" s="6">
        <v>2</v>
      </c>
      <c r="B30" s="42"/>
    </row>
    <row r="31" spans="1:2" ht="15" customHeight="1" x14ac:dyDescent="0.25">
      <c r="A31" s="6">
        <v>5</v>
      </c>
      <c r="B31" s="42"/>
    </row>
    <row r="32" spans="1:2" ht="15" customHeight="1" x14ac:dyDescent="0.25">
      <c r="A32" s="6">
        <v>10</v>
      </c>
      <c r="B32" s="42"/>
    </row>
    <row r="33" spans="1:2" ht="15" customHeight="1" x14ac:dyDescent="0.25">
      <c r="A33" s="6">
        <v>20</v>
      </c>
      <c r="B33" s="43"/>
    </row>
    <row r="34" spans="1:2" ht="15" customHeight="1" x14ac:dyDescent="0.25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25">
      <c r="A35" s="2"/>
      <c r="B35" s="22"/>
    </row>
    <row r="36" spans="1:2" ht="15" customHeight="1" x14ac:dyDescent="0.25">
      <c r="A36" s="1" t="s">
        <v>68</v>
      </c>
      <c r="B36" s="40" t="str">
        <f>B7</f>
        <v>WEDNESDAY</v>
      </c>
    </row>
    <row r="37" spans="1:2" ht="15" customHeight="1" x14ac:dyDescent="0.25">
      <c r="A37" s="6">
        <v>0.01</v>
      </c>
      <c r="B37" s="41"/>
    </row>
    <row r="38" spans="1:2" ht="15" customHeight="1" x14ac:dyDescent="0.25">
      <c r="A38" s="6">
        <v>0.02</v>
      </c>
      <c r="B38" s="51"/>
    </row>
    <row r="39" spans="1:2" ht="15" customHeight="1" x14ac:dyDescent="0.25">
      <c r="A39" s="6">
        <v>0.05</v>
      </c>
      <c r="B39" s="42"/>
    </row>
    <row r="40" spans="1:2" ht="15" customHeight="1" x14ac:dyDescent="0.25">
      <c r="A40" s="14">
        <v>0.1</v>
      </c>
      <c r="B40" s="42"/>
    </row>
    <row r="41" spans="1:2" ht="15" customHeight="1" x14ac:dyDescent="0.25">
      <c r="A41" s="14">
        <v>0.2</v>
      </c>
      <c r="B41" s="42"/>
    </row>
    <row r="42" spans="1:2" ht="15" customHeight="1" x14ac:dyDescent="0.25">
      <c r="A42" s="14">
        <v>0.5</v>
      </c>
      <c r="B42" s="42"/>
    </row>
    <row r="43" spans="1:2" ht="15" customHeight="1" x14ac:dyDescent="0.25">
      <c r="A43" s="6">
        <v>1</v>
      </c>
      <c r="B43" s="42"/>
    </row>
    <row r="44" spans="1:2" ht="15" customHeight="1" x14ac:dyDescent="0.25">
      <c r="A44" s="6">
        <v>2</v>
      </c>
      <c r="B44" s="42"/>
    </row>
    <row r="45" spans="1:2" ht="15" customHeight="1" x14ac:dyDescent="0.25">
      <c r="A45" s="6">
        <v>5</v>
      </c>
      <c r="B45" s="42"/>
    </row>
    <row r="46" spans="1:2" ht="15" customHeight="1" x14ac:dyDescent="0.25">
      <c r="A46" s="6">
        <v>10</v>
      </c>
      <c r="B46" s="42"/>
    </row>
    <row r="47" spans="1:2" ht="15" customHeight="1" x14ac:dyDescent="0.25">
      <c r="A47" s="6">
        <v>20</v>
      </c>
      <c r="B47" s="43"/>
    </row>
    <row r="48" spans="1:2" ht="15" customHeight="1" x14ac:dyDescent="0.25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 x14ac:dyDescent="0.25">
      <c r="A49" s="2"/>
      <c r="B49" s="22"/>
    </row>
    <row r="50" spans="1:2" ht="15" customHeight="1" x14ac:dyDescent="0.25">
      <c r="A50" s="1" t="s">
        <v>69</v>
      </c>
      <c r="B50" s="40" t="str">
        <f>B7</f>
        <v>WEDNESDAY</v>
      </c>
    </row>
    <row r="51" spans="1:2" ht="15" customHeight="1" x14ac:dyDescent="0.25">
      <c r="A51" s="74" t="s">
        <v>6</v>
      </c>
      <c r="B51" s="41"/>
    </row>
    <row r="52" spans="1:2" ht="15" customHeight="1" x14ac:dyDescent="0.25">
      <c r="A52" s="75" t="s">
        <v>7</v>
      </c>
      <c r="B52" s="42"/>
    </row>
    <row r="53" spans="1:2" ht="15" customHeight="1" x14ac:dyDescent="0.25">
      <c r="A53" s="75" t="s">
        <v>8</v>
      </c>
      <c r="B53" s="42"/>
    </row>
    <row r="54" spans="1:2" ht="15" customHeight="1" x14ac:dyDescent="0.25">
      <c r="A54" s="75" t="s">
        <v>9</v>
      </c>
      <c r="B54" s="42"/>
    </row>
    <row r="55" spans="1:2" ht="15" customHeight="1" x14ac:dyDescent="0.25">
      <c r="A55" s="75" t="s">
        <v>10</v>
      </c>
      <c r="B55" s="42"/>
    </row>
    <row r="56" spans="1:2" ht="15" customHeight="1" x14ac:dyDescent="0.25">
      <c r="A56" s="75" t="s">
        <v>11</v>
      </c>
      <c r="B56" s="42"/>
    </row>
    <row r="57" spans="1:2" ht="15" customHeight="1" x14ac:dyDescent="0.25">
      <c r="A57" s="75" t="s">
        <v>12</v>
      </c>
      <c r="B57" s="42"/>
    </row>
    <row r="58" spans="1:2" ht="15" customHeight="1" x14ac:dyDescent="0.25">
      <c r="A58" s="76" t="s">
        <v>13</v>
      </c>
      <c r="B58" s="43"/>
    </row>
    <row r="59" spans="1:2" ht="15" customHeight="1" x14ac:dyDescent="0.25">
      <c r="A59" s="18" t="s">
        <v>2</v>
      </c>
      <c r="B59" s="44">
        <f>SUM(B51:B58)</f>
        <v>0</v>
      </c>
    </row>
    <row r="60" spans="1:2" ht="15" customHeight="1" x14ac:dyDescent="0.25">
      <c r="A60" s="2"/>
      <c r="B60" s="23"/>
    </row>
    <row r="61" spans="1:2" ht="15" customHeight="1" x14ac:dyDescent="0.25">
      <c r="A61" s="1" t="s">
        <v>14</v>
      </c>
      <c r="B61" s="40" t="str">
        <f>B7</f>
        <v>WEDNESDAY</v>
      </c>
    </row>
    <row r="62" spans="1:2" ht="15" customHeight="1" x14ac:dyDescent="0.25">
      <c r="A62" s="18" t="s">
        <v>42</v>
      </c>
      <c r="B62" s="46" t="s">
        <v>43</v>
      </c>
    </row>
    <row r="63" spans="1:2" ht="15" customHeight="1" x14ac:dyDescent="0.25">
      <c r="A63" s="18" t="s">
        <v>44</v>
      </c>
      <c r="B63" s="42"/>
    </row>
    <row r="64" spans="1:2" ht="15" customHeight="1" x14ac:dyDescent="0.25">
      <c r="A64" s="18" t="s">
        <v>17</v>
      </c>
      <c r="B64" s="43"/>
    </row>
    <row r="65" spans="1:2" ht="15" customHeight="1" x14ac:dyDescent="0.25">
      <c r="A65" s="18" t="s">
        <v>2</v>
      </c>
      <c r="B65" s="47">
        <f>SUM(B63:B64)</f>
        <v>0</v>
      </c>
    </row>
    <row r="66" spans="1:2" ht="15" customHeight="1" x14ac:dyDescent="0.25">
      <c r="A66" s="2"/>
      <c r="B66" s="23"/>
    </row>
    <row r="67" spans="1:2" ht="15" customHeight="1" x14ac:dyDescent="0.25">
      <c r="A67" s="1" t="s">
        <v>18</v>
      </c>
      <c r="B67" s="40" t="str">
        <f>B7</f>
        <v>WEDNESDAY</v>
      </c>
    </row>
    <row r="68" spans="1:2" ht="15" customHeight="1" x14ac:dyDescent="0.25">
      <c r="A68" s="18" t="s">
        <v>19</v>
      </c>
      <c r="B68" s="48"/>
    </row>
    <row r="69" spans="1:2" ht="15" customHeight="1" x14ac:dyDescent="0.25">
      <c r="A69" s="18" t="s">
        <v>20</v>
      </c>
      <c r="B69" s="42"/>
    </row>
    <row r="70" spans="1:2" ht="15" customHeight="1" x14ac:dyDescent="0.25">
      <c r="A70" s="18" t="s">
        <v>21</v>
      </c>
      <c r="B70" s="42"/>
    </row>
    <row r="71" spans="1:2" ht="15" customHeight="1" x14ac:dyDescent="0.25">
      <c r="A71" s="18" t="s">
        <v>22</v>
      </c>
      <c r="B71" s="42"/>
    </row>
    <row r="72" spans="1:2" ht="15" customHeight="1" x14ac:dyDescent="0.25">
      <c r="A72" s="18" t="s">
        <v>23</v>
      </c>
      <c r="B72" s="42"/>
    </row>
    <row r="73" spans="1:2" ht="15" customHeight="1" x14ac:dyDescent="0.25">
      <c r="A73" s="18" t="s">
        <v>24</v>
      </c>
      <c r="B73" s="43"/>
    </row>
    <row r="74" spans="1:2" ht="15" customHeight="1" x14ac:dyDescent="0.25">
      <c r="A74" s="18" t="s">
        <v>72</v>
      </c>
      <c r="B74" s="86">
        <f>B75-SUM(B68:B73)</f>
        <v>0</v>
      </c>
    </row>
    <row r="75" spans="1:2" ht="15" customHeight="1" x14ac:dyDescent="0.25">
      <c r="A75" s="18" t="s">
        <v>2</v>
      </c>
      <c r="B75" s="87"/>
    </row>
    <row r="76" spans="1:2" ht="15" customHeight="1" x14ac:dyDescent="0.25">
      <c r="A76" s="2"/>
      <c r="B76" s="26"/>
    </row>
    <row r="77" spans="1:2" ht="15" customHeight="1" x14ac:dyDescent="0.25">
      <c r="A77" s="49" t="s">
        <v>25</v>
      </c>
      <c r="B77" s="50">
        <f>B34</f>
        <v>0</v>
      </c>
    </row>
    <row r="78" spans="1:2" ht="15" customHeight="1" x14ac:dyDescent="0.25">
      <c r="A78" s="18" t="s">
        <v>45</v>
      </c>
      <c r="B78" s="51"/>
    </row>
    <row r="79" spans="1:2" ht="15" customHeight="1" x14ac:dyDescent="0.25">
      <c r="A79" s="18" t="s">
        <v>46</v>
      </c>
      <c r="B79" s="52"/>
    </row>
    <row r="80" spans="1:2" ht="15" customHeight="1" x14ac:dyDescent="0.25">
      <c r="A80" s="18" t="s">
        <v>71</v>
      </c>
      <c r="B80" s="66"/>
    </row>
    <row r="81" spans="1:2" ht="15" customHeight="1" x14ac:dyDescent="0.25">
      <c r="A81" s="18" t="s">
        <v>27</v>
      </c>
      <c r="B81" s="53">
        <f>B65</f>
        <v>0</v>
      </c>
    </row>
    <row r="82" spans="1:2" ht="15" customHeight="1" x14ac:dyDescent="0.25">
      <c r="A82" s="18" t="s">
        <v>28</v>
      </c>
      <c r="B82" s="54">
        <f>B59</f>
        <v>0</v>
      </c>
    </row>
    <row r="83" spans="1:2" ht="15" customHeight="1" x14ac:dyDescent="0.25">
      <c r="A83" s="18" t="s">
        <v>29</v>
      </c>
      <c r="B83" s="47">
        <f>B77+B78+B79+B80+B81+B82</f>
        <v>0</v>
      </c>
    </row>
    <row r="84" spans="1:2" ht="15" customHeight="1" x14ac:dyDescent="0.25">
      <c r="A84" s="2"/>
      <c r="B84" s="26"/>
    </row>
    <row r="85" spans="1:2" ht="15" customHeight="1" x14ac:dyDescent="0.25">
      <c r="A85" s="18" t="s">
        <v>30</v>
      </c>
      <c r="B85" s="55">
        <f>B83-B75</f>
        <v>0</v>
      </c>
    </row>
    <row r="86" spans="1:2" ht="15" customHeight="1" x14ac:dyDescent="0.25">
      <c r="A86" s="2"/>
      <c r="B86" s="23"/>
    </row>
    <row r="87" spans="1:2" ht="15" customHeight="1" x14ac:dyDescent="0.25">
      <c r="A87" s="2"/>
      <c r="B87" s="2"/>
    </row>
    <row r="88" spans="1:2" ht="15" customHeight="1" x14ac:dyDescent="0.25">
      <c r="A88" s="2" t="s">
        <v>34</v>
      </c>
      <c r="B88" s="56" t="str">
        <f>B7</f>
        <v>WEDNESDAY</v>
      </c>
    </row>
    <row r="89" spans="1:2" ht="15" customHeight="1" x14ac:dyDescent="0.25">
      <c r="A89" s="18" t="s">
        <v>35</v>
      </c>
      <c r="B89" s="41"/>
    </row>
    <row r="90" spans="1:2" ht="15" customHeight="1" x14ac:dyDescent="0.25">
      <c r="A90" s="18" t="s">
        <v>36</v>
      </c>
      <c r="B90" s="42"/>
    </row>
    <row r="91" spans="1:2" ht="15" customHeight="1" x14ac:dyDescent="0.25">
      <c r="A91" s="18" t="s">
        <v>37</v>
      </c>
      <c r="B91" s="42"/>
    </row>
    <row r="92" spans="1:2" ht="15" customHeight="1" x14ac:dyDescent="0.25">
      <c r="A92" s="18" t="s">
        <v>47</v>
      </c>
      <c r="B92" s="42"/>
    </row>
    <row r="93" spans="1:2" ht="15" customHeight="1" x14ac:dyDescent="0.25">
      <c r="A93" s="18" t="s">
        <v>39</v>
      </c>
      <c r="B93" s="43"/>
    </row>
    <row r="94" spans="1:2" ht="15" customHeight="1" x14ac:dyDescent="0.25">
      <c r="B94" s="57"/>
    </row>
    <row r="95" spans="1:2" ht="15" customHeight="1" x14ac:dyDescent="0.25">
      <c r="A95" s="58" t="s">
        <v>48</v>
      </c>
      <c r="B95" s="59"/>
    </row>
    <row r="96" spans="1:2" ht="15" customHeight="1" x14ac:dyDescent="0.25">
      <c r="A96" s="60" t="s">
        <v>49</v>
      </c>
      <c r="B96" s="41"/>
    </row>
    <row r="97" spans="1:2" ht="15" customHeight="1" x14ac:dyDescent="0.25">
      <c r="A97" s="60" t="s">
        <v>50</v>
      </c>
      <c r="B97" s="42"/>
    </row>
    <row r="98" spans="1:2" ht="15" customHeight="1" x14ac:dyDescent="0.25">
      <c r="A98" s="60" t="s">
        <v>51</v>
      </c>
      <c r="B98" s="42"/>
    </row>
    <row r="99" spans="1:2" ht="15" customHeight="1" x14ac:dyDescent="0.25">
      <c r="A99" s="60" t="s">
        <v>52</v>
      </c>
      <c r="B99" s="42"/>
    </row>
    <row r="100" spans="1:2" ht="15" customHeight="1" x14ac:dyDescent="0.25">
      <c r="A100" s="60" t="s">
        <v>53</v>
      </c>
      <c r="B100" s="42"/>
    </row>
    <row r="101" spans="1:2" ht="15" customHeight="1" x14ac:dyDescent="0.25">
      <c r="A101" s="60" t="s">
        <v>54</v>
      </c>
      <c r="B101" s="42"/>
    </row>
    <row r="102" spans="1:2" ht="15" customHeight="1" x14ac:dyDescent="0.25">
      <c r="A102" s="60" t="s">
        <v>55</v>
      </c>
      <c r="B102" s="42"/>
    </row>
    <row r="103" spans="1:2" ht="15" customHeight="1" x14ac:dyDescent="0.25">
      <c r="A103" s="60" t="s">
        <v>56</v>
      </c>
      <c r="B103" s="42"/>
    </row>
    <row r="104" spans="1:2" ht="15" customHeight="1" x14ac:dyDescent="0.25">
      <c r="A104" s="60" t="s">
        <v>57</v>
      </c>
      <c r="B104" s="42"/>
    </row>
    <row r="105" spans="1:2" ht="15" customHeight="1" x14ac:dyDescent="0.25">
      <c r="A105" s="60" t="s">
        <v>58</v>
      </c>
      <c r="B105" s="43"/>
    </row>
    <row r="106" spans="1:2" ht="15" customHeight="1" x14ac:dyDescent="0.25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topLeftCell="A46" workbookViewId="0">
      <selection activeCell="B75" sqref="B75"/>
    </sheetView>
  </sheetViews>
  <sheetFormatPr defaultColWidth="9.140625" defaultRowHeight="12.75" x14ac:dyDescent="0.2"/>
  <cols>
    <col min="1" max="1" width="28.7109375" customWidth="1"/>
    <col min="2" max="2" width="20.85546875" customWidth="1"/>
  </cols>
  <sheetData>
    <row r="1" spans="1:13" ht="15" customHeight="1" x14ac:dyDescent="0.2"/>
    <row r="2" spans="1:13" ht="15" customHeight="1" x14ac:dyDescent="0.25">
      <c r="A2" s="2"/>
    </row>
    <row r="3" spans="1:13" ht="15" customHeight="1" x14ac:dyDescent="0.25">
      <c r="A3" s="64" t="s">
        <v>70</v>
      </c>
      <c r="B3" s="77"/>
      <c r="C3" s="78"/>
      <c r="D3" s="78"/>
      <c r="E3" s="78"/>
      <c r="F3" s="78"/>
      <c r="G3" s="78"/>
      <c r="H3" s="78"/>
      <c r="I3" s="78"/>
      <c r="J3" s="78"/>
      <c r="K3" s="78"/>
      <c r="L3" s="78"/>
      <c r="M3" s="79"/>
    </row>
    <row r="4" spans="1:13" ht="15" customHeight="1" x14ac:dyDescent="0.25">
      <c r="A4" s="2"/>
      <c r="B4" s="80"/>
      <c r="C4" s="81"/>
      <c r="D4" s="81"/>
      <c r="E4" s="81"/>
      <c r="F4" s="81"/>
      <c r="G4" s="81"/>
      <c r="H4" s="81"/>
      <c r="I4" s="81"/>
      <c r="J4" s="81"/>
      <c r="K4" s="81"/>
      <c r="L4" s="81"/>
      <c r="M4" s="82"/>
    </row>
    <row r="5" spans="1:13" ht="15" customHeight="1" x14ac:dyDescent="0.25">
      <c r="A5" s="2"/>
      <c r="B5" s="80"/>
      <c r="C5" s="81"/>
      <c r="D5" s="81"/>
      <c r="E5" s="81"/>
      <c r="F5" s="81"/>
      <c r="G5" s="81"/>
      <c r="H5" s="81"/>
      <c r="I5" s="81"/>
      <c r="J5" s="81"/>
      <c r="K5" s="81"/>
      <c r="L5" s="81"/>
      <c r="M5" s="82"/>
    </row>
    <row r="6" spans="1:13" ht="15" customHeight="1" x14ac:dyDescent="0.25">
      <c r="A6" s="2"/>
      <c r="B6" s="83"/>
      <c r="C6" s="84"/>
      <c r="D6" s="84"/>
      <c r="E6" s="84"/>
      <c r="F6" s="84"/>
      <c r="G6" s="84"/>
      <c r="H6" s="84"/>
      <c r="I6" s="84"/>
      <c r="J6" s="84"/>
      <c r="K6" s="84"/>
      <c r="L6" s="84"/>
      <c r="M6" s="85"/>
    </row>
    <row r="7" spans="1:13" ht="15" customHeight="1" x14ac:dyDescent="0.25">
      <c r="A7" s="1" t="s">
        <v>66</v>
      </c>
      <c r="B7" s="65" t="s">
        <v>62</v>
      </c>
    </row>
    <row r="8" spans="1:13" ht="15" customHeight="1" x14ac:dyDescent="0.25">
      <c r="A8" s="6">
        <v>0.01</v>
      </c>
      <c r="B8" s="41"/>
    </row>
    <row r="9" spans="1:13" ht="15" customHeight="1" x14ac:dyDescent="0.25">
      <c r="A9" s="6">
        <v>0.02</v>
      </c>
      <c r="B9" s="51"/>
    </row>
    <row r="10" spans="1:13" ht="15" customHeight="1" x14ac:dyDescent="0.25">
      <c r="A10" s="6">
        <v>0.05</v>
      </c>
      <c r="B10" s="42"/>
    </row>
    <row r="11" spans="1:13" ht="15" customHeight="1" x14ac:dyDescent="0.25">
      <c r="A11" s="14">
        <v>0.1</v>
      </c>
      <c r="B11" s="42"/>
    </row>
    <row r="12" spans="1:13" ht="15" customHeight="1" x14ac:dyDescent="0.25">
      <c r="A12" s="14">
        <v>0.2</v>
      </c>
      <c r="B12" s="42"/>
    </row>
    <row r="13" spans="1:13" ht="15" customHeight="1" x14ac:dyDescent="0.25">
      <c r="A13" s="14">
        <v>0.5</v>
      </c>
      <c r="B13" s="42"/>
    </row>
    <row r="14" spans="1:13" ht="15" customHeight="1" x14ac:dyDescent="0.25">
      <c r="A14" s="6">
        <v>1</v>
      </c>
      <c r="B14" s="42"/>
    </row>
    <row r="15" spans="1:13" ht="15" customHeight="1" x14ac:dyDescent="0.25">
      <c r="A15" s="6">
        <v>2</v>
      </c>
      <c r="B15" s="42"/>
    </row>
    <row r="16" spans="1:13" ht="15" customHeight="1" x14ac:dyDescent="0.25">
      <c r="A16" s="6">
        <v>5</v>
      </c>
      <c r="B16" s="42"/>
    </row>
    <row r="17" spans="1:2" ht="15" customHeight="1" x14ac:dyDescent="0.25">
      <c r="A17" s="6">
        <v>10</v>
      </c>
      <c r="B17" s="42"/>
    </row>
    <row r="18" spans="1:2" ht="15" customHeight="1" x14ac:dyDescent="0.25">
      <c r="A18" s="6">
        <v>20</v>
      </c>
      <c r="B18" s="43"/>
    </row>
    <row r="19" spans="1:2" ht="15" customHeight="1" x14ac:dyDescent="0.25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25">
      <c r="A20" s="18" t="s">
        <v>41</v>
      </c>
      <c r="B20" s="45">
        <f>500-B19</f>
        <v>500</v>
      </c>
    </row>
    <row r="21" spans="1:2" ht="15" customHeight="1" x14ac:dyDescent="0.25">
      <c r="A21" s="2"/>
      <c r="B21" s="22"/>
    </row>
    <row r="22" spans="1:2" ht="15" customHeight="1" x14ac:dyDescent="0.25">
      <c r="A22" s="1" t="s">
        <v>67</v>
      </c>
      <c r="B22" s="40" t="str">
        <f>B7</f>
        <v>THURSDAY</v>
      </c>
    </row>
    <row r="23" spans="1:2" ht="15" customHeight="1" x14ac:dyDescent="0.25">
      <c r="A23" s="6">
        <v>0.01</v>
      </c>
      <c r="B23" s="41"/>
    </row>
    <row r="24" spans="1:2" ht="15" customHeight="1" x14ac:dyDescent="0.25">
      <c r="A24" s="6">
        <v>0.02</v>
      </c>
      <c r="B24" s="51"/>
    </row>
    <row r="25" spans="1:2" ht="15" customHeight="1" x14ac:dyDescent="0.25">
      <c r="A25" s="6">
        <v>0.05</v>
      </c>
      <c r="B25" s="42"/>
    </row>
    <row r="26" spans="1:2" ht="15" customHeight="1" x14ac:dyDescent="0.25">
      <c r="A26" s="14">
        <v>0.1</v>
      </c>
      <c r="B26" s="42"/>
    </row>
    <row r="27" spans="1:2" ht="15" customHeight="1" x14ac:dyDescent="0.25">
      <c r="A27" s="14">
        <v>0.2</v>
      </c>
      <c r="B27" s="42"/>
    </row>
    <row r="28" spans="1:2" ht="15" customHeight="1" x14ac:dyDescent="0.25">
      <c r="A28" s="14">
        <v>0.5</v>
      </c>
      <c r="B28" s="42"/>
    </row>
    <row r="29" spans="1:2" ht="15" customHeight="1" x14ac:dyDescent="0.25">
      <c r="A29" s="6">
        <v>1</v>
      </c>
      <c r="B29" s="42"/>
    </row>
    <row r="30" spans="1:2" ht="15" customHeight="1" x14ac:dyDescent="0.25">
      <c r="A30" s="6">
        <v>2</v>
      </c>
      <c r="B30" s="42"/>
    </row>
    <row r="31" spans="1:2" ht="15" customHeight="1" x14ac:dyDescent="0.25">
      <c r="A31" s="6">
        <v>5</v>
      </c>
      <c r="B31" s="42"/>
    </row>
    <row r="32" spans="1:2" ht="15" customHeight="1" x14ac:dyDescent="0.25">
      <c r="A32" s="6">
        <v>10</v>
      </c>
      <c r="B32" s="42"/>
    </row>
    <row r="33" spans="1:2" ht="15" customHeight="1" x14ac:dyDescent="0.25">
      <c r="A33" s="6">
        <v>20</v>
      </c>
      <c r="B33" s="43"/>
    </row>
    <row r="34" spans="1:2" ht="15" customHeight="1" x14ac:dyDescent="0.25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25">
      <c r="A35" s="2"/>
      <c r="B35" s="22"/>
    </row>
    <row r="36" spans="1:2" ht="15" customHeight="1" x14ac:dyDescent="0.25">
      <c r="A36" s="1" t="s">
        <v>68</v>
      </c>
      <c r="B36" s="40" t="str">
        <f>B7</f>
        <v>THURSDAY</v>
      </c>
    </row>
    <row r="37" spans="1:2" ht="15" customHeight="1" x14ac:dyDescent="0.25">
      <c r="A37" s="6">
        <v>0.01</v>
      </c>
      <c r="B37" s="41"/>
    </row>
    <row r="38" spans="1:2" ht="15" customHeight="1" x14ac:dyDescent="0.25">
      <c r="A38" s="6">
        <v>0.02</v>
      </c>
      <c r="B38" s="51"/>
    </row>
    <row r="39" spans="1:2" ht="15" customHeight="1" x14ac:dyDescent="0.25">
      <c r="A39" s="6">
        <v>0.05</v>
      </c>
      <c r="B39" s="42"/>
    </row>
    <row r="40" spans="1:2" ht="15" customHeight="1" x14ac:dyDescent="0.25">
      <c r="A40" s="14">
        <v>0.1</v>
      </c>
      <c r="B40" s="42"/>
    </row>
    <row r="41" spans="1:2" ht="15" customHeight="1" x14ac:dyDescent="0.25">
      <c r="A41" s="14">
        <v>0.2</v>
      </c>
      <c r="B41" s="42"/>
    </row>
    <row r="42" spans="1:2" ht="15" customHeight="1" x14ac:dyDescent="0.25">
      <c r="A42" s="14">
        <v>0.5</v>
      </c>
      <c r="B42" s="42"/>
    </row>
    <row r="43" spans="1:2" ht="15" customHeight="1" x14ac:dyDescent="0.25">
      <c r="A43" s="6">
        <v>1</v>
      </c>
      <c r="B43" s="42"/>
    </row>
    <row r="44" spans="1:2" ht="15" customHeight="1" x14ac:dyDescent="0.25">
      <c r="A44" s="6">
        <v>2</v>
      </c>
      <c r="B44" s="42"/>
    </row>
    <row r="45" spans="1:2" ht="15" customHeight="1" x14ac:dyDescent="0.25">
      <c r="A45" s="6">
        <v>5</v>
      </c>
      <c r="B45" s="42"/>
    </row>
    <row r="46" spans="1:2" ht="15" customHeight="1" x14ac:dyDescent="0.25">
      <c r="A46" s="6">
        <v>10</v>
      </c>
      <c r="B46" s="42"/>
    </row>
    <row r="47" spans="1:2" ht="15" customHeight="1" x14ac:dyDescent="0.25">
      <c r="A47" s="6">
        <v>20</v>
      </c>
      <c r="B47" s="43"/>
    </row>
    <row r="48" spans="1:2" ht="15" customHeight="1" x14ac:dyDescent="0.25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 x14ac:dyDescent="0.25">
      <c r="A49" s="2"/>
      <c r="B49" s="22"/>
    </row>
    <row r="50" spans="1:2" ht="15" customHeight="1" x14ac:dyDescent="0.25">
      <c r="A50" s="1" t="s">
        <v>69</v>
      </c>
      <c r="B50" s="40" t="str">
        <f>B7</f>
        <v>THURSDAY</v>
      </c>
    </row>
    <row r="51" spans="1:2" ht="15" customHeight="1" x14ac:dyDescent="0.25">
      <c r="A51" s="74" t="s">
        <v>6</v>
      </c>
      <c r="B51" s="41"/>
    </row>
    <row r="52" spans="1:2" ht="15" customHeight="1" x14ac:dyDescent="0.25">
      <c r="A52" s="75" t="s">
        <v>7</v>
      </c>
      <c r="B52" s="42"/>
    </row>
    <row r="53" spans="1:2" ht="15" customHeight="1" x14ac:dyDescent="0.25">
      <c r="A53" s="75" t="s">
        <v>8</v>
      </c>
      <c r="B53" s="42"/>
    </row>
    <row r="54" spans="1:2" ht="15" customHeight="1" x14ac:dyDescent="0.25">
      <c r="A54" s="75" t="s">
        <v>9</v>
      </c>
      <c r="B54" s="42"/>
    </row>
    <row r="55" spans="1:2" ht="15" customHeight="1" x14ac:dyDescent="0.25">
      <c r="A55" s="75" t="s">
        <v>10</v>
      </c>
      <c r="B55" s="42"/>
    </row>
    <row r="56" spans="1:2" ht="15" customHeight="1" x14ac:dyDescent="0.25">
      <c r="A56" s="75" t="s">
        <v>11</v>
      </c>
      <c r="B56" s="42"/>
    </row>
    <row r="57" spans="1:2" ht="15" customHeight="1" x14ac:dyDescent="0.25">
      <c r="A57" s="75" t="s">
        <v>12</v>
      </c>
      <c r="B57" s="42"/>
    </row>
    <row r="58" spans="1:2" ht="15" customHeight="1" x14ac:dyDescent="0.25">
      <c r="A58" s="76" t="s">
        <v>13</v>
      </c>
      <c r="B58" s="43"/>
    </row>
    <row r="59" spans="1:2" ht="15" customHeight="1" x14ac:dyDescent="0.25">
      <c r="A59" s="18" t="s">
        <v>2</v>
      </c>
      <c r="B59" s="44">
        <f>SUM(B51:B58)</f>
        <v>0</v>
      </c>
    </row>
    <row r="60" spans="1:2" ht="15" customHeight="1" x14ac:dyDescent="0.25">
      <c r="A60" s="2"/>
      <c r="B60" s="23"/>
    </row>
    <row r="61" spans="1:2" ht="15" customHeight="1" x14ac:dyDescent="0.25">
      <c r="A61" s="1" t="s">
        <v>14</v>
      </c>
      <c r="B61" s="40" t="str">
        <f>B7</f>
        <v>THURSDAY</v>
      </c>
    </row>
    <row r="62" spans="1:2" ht="15" customHeight="1" x14ac:dyDescent="0.25">
      <c r="A62" s="18" t="s">
        <v>42</v>
      </c>
      <c r="B62" s="46" t="s">
        <v>43</v>
      </c>
    </row>
    <row r="63" spans="1:2" ht="15" customHeight="1" x14ac:dyDescent="0.25">
      <c r="A63" s="18" t="s">
        <v>44</v>
      </c>
      <c r="B63" s="42"/>
    </row>
    <row r="64" spans="1:2" ht="15" customHeight="1" x14ac:dyDescent="0.25">
      <c r="A64" s="18" t="s">
        <v>17</v>
      </c>
      <c r="B64" s="43"/>
    </row>
    <row r="65" spans="1:2" ht="15" customHeight="1" x14ac:dyDescent="0.25">
      <c r="A65" s="18" t="s">
        <v>2</v>
      </c>
      <c r="B65" s="47">
        <f>SUM(B63:B64)</f>
        <v>0</v>
      </c>
    </row>
    <row r="66" spans="1:2" ht="15" customHeight="1" x14ac:dyDescent="0.25">
      <c r="A66" s="2"/>
      <c r="B66" s="23"/>
    </row>
    <row r="67" spans="1:2" ht="15" customHeight="1" x14ac:dyDescent="0.25">
      <c r="A67" s="1" t="s">
        <v>18</v>
      </c>
      <c r="B67" s="40" t="str">
        <f>B7</f>
        <v>THURSDAY</v>
      </c>
    </row>
    <row r="68" spans="1:2" ht="15" customHeight="1" x14ac:dyDescent="0.25">
      <c r="A68" s="18" t="s">
        <v>19</v>
      </c>
      <c r="B68" s="48"/>
    </row>
    <row r="69" spans="1:2" ht="15" customHeight="1" x14ac:dyDescent="0.25">
      <c r="A69" s="18" t="s">
        <v>20</v>
      </c>
      <c r="B69" s="42"/>
    </row>
    <row r="70" spans="1:2" ht="15" customHeight="1" x14ac:dyDescent="0.25">
      <c r="A70" s="18" t="s">
        <v>21</v>
      </c>
      <c r="B70" s="42"/>
    </row>
    <row r="71" spans="1:2" ht="15" customHeight="1" x14ac:dyDescent="0.25">
      <c r="A71" s="18" t="s">
        <v>22</v>
      </c>
      <c r="B71" s="42"/>
    </row>
    <row r="72" spans="1:2" ht="15" customHeight="1" x14ac:dyDescent="0.25">
      <c r="A72" s="18" t="s">
        <v>23</v>
      </c>
      <c r="B72" s="42"/>
    </row>
    <row r="73" spans="1:2" ht="15" customHeight="1" x14ac:dyDescent="0.25">
      <c r="A73" s="18" t="s">
        <v>24</v>
      </c>
      <c r="B73" s="43"/>
    </row>
    <row r="74" spans="1:2" ht="15" customHeight="1" x14ac:dyDescent="0.25">
      <c r="A74" s="18" t="s">
        <v>72</v>
      </c>
      <c r="B74" s="86">
        <f>B75-SUM(B68:B73)</f>
        <v>0</v>
      </c>
    </row>
    <row r="75" spans="1:2" ht="15" customHeight="1" x14ac:dyDescent="0.25">
      <c r="A75" s="18" t="s">
        <v>2</v>
      </c>
      <c r="B75" s="87"/>
    </row>
    <row r="76" spans="1:2" ht="15" customHeight="1" x14ac:dyDescent="0.25">
      <c r="A76" s="2"/>
      <c r="B76" s="26"/>
    </row>
    <row r="77" spans="1:2" ht="15" customHeight="1" x14ac:dyDescent="0.25">
      <c r="A77" s="49" t="s">
        <v>25</v>
      </c>
      <c r="B77" s="50">
        <f>B34</f>
        <v>0</v>
      </c>
    </row>
    <row r="78" spans="1:2" ht="15" customHeight="1" x14ac:dyDescent="0.25">
      <c r="A78" s="18" t="s">
        <v>45</v>
      </c>
      <c r="B78" s="51"/>
    </row>
    <row r="79" spans="1:2" ht="15" customHeight="1" x14ac:dyDescent="0.25">
      <c r="A79" s="18" t="s">
        <v>46</v>
      </c>
      <c r="B79" s="52"/>
    </row>
    <row r="80" spans="1:2" ht="15" customHeight="1" x14ac:dyDescent="0.25">
      <c r="A80" s="18" t="s">
        <v>71</v>
      </c>
      <c r="B80" s="66"/>
    </row>
    <row r="81" spans="1:2" ht="15" customHeight="1" x14ac:dyDescent="0.25">
      <c r="A81" s="18" t="s">
        <v>27</v>
      </c>
      <c r="B81" s="53">
        <f>B65</f>
        <v>0</v>
      </c>
    </row>
    <row r="82" spans="1:2" ht="15" customHeight="1" x14ac:dyDescent="0.25">
      <c r="A82" s="18" t="s">
        <v>28</v>
      </c>
      <c r="B82" s="54">
        <f>B59</f>
        <v>0</v>
      </c>
    </row>
    <row r="83" spans="1:2" ht="15" customHeight="1" x14ac:dyDescent="0.25">
      <c r="A83" s="18" t="s">
        <v>29</v>
      </c>
      <c r="B83" s="47">
        <f>B77+B78+B79+B80+B81+B82</f>
        <v>0</v>
      </c>
    </row>
    <row r="84" spans="1:2" ht="15" customHeight="1" x14ac:dyDescent="0.25">
      <c r="A84" s="2"/>
      <c r="B84" s="26"/>
    </row>
    <row r="85" spans="1:2" ht="15" customHeight="1" x14ac:dyDescent="0.25">
      <c r="A85" s="18" t="s">
        <v>30</v>
      </c>
      <c r="B85" s="55">
        <f>B83-B75</f>
        <v>0</v>
      </c>
    </row>
    <row r="86" spans="1:2" ht="15" customHeight="1" x14ac:dyDescent="0.25">
      <c r="A86" s="2"/>
      <c r="B86" s="23"/>
    </row>
    <row r="87" spans="1:2" ht="15" customHeight="1" x14ac:dyDescent="0.25">
      <c r="A87" s="2"/>
      <c r="B87" s="2"/>
    </row>
    <row r="88" spans="1:2" ht="15" customHeight="1" x14ac:dyDescent="0.25">
      <c r="A88" s="2" t="s">
        <v>34</v>
      </c>
      <c r="B88" s="56" t="str">
        <f>B7</f>
        <v>THURSDAY</v>
      </c>
    </row>
    <row r="89" spans="1:2" ht="15" customHeight="1" x14ac:dyDescent="0.25">
      <c r="A89" s="18" t="s">
        <v>35</v>
      </c>
      <c r="B89" s="41"/>
    </row>
    <row r="90" spans="1:2" ht="15" customHeight="1" x14ac:dyDescent="0.25">
      <c r="A90" s="18" t="s">
        <v>36</v>
      </c>
      <c r="B90" s="42"/>
    </row>
    <row r="91" spans="1:2" ht="15" customHeight="1" x14ac:dyDescent="0.25">
      <c r="A91" s="18" t="s">
        <v>37</v>
      </c>
      <c r="B91" s="42"/>
    </row>
    <row r="92" spans="1:2" ht="15" customHeight="1" x14ac:dyDescent="0.25">
      <c r="A92" s="18" t="s">
        <v>47</v>
      </c>
      <c r="B92" s="42"/>
    </row>
    <row r="93" spans="1:2" ht="15" customHeight="1" x14ac:dyDescent="0.25">
      <c r="A93" s="18" t="s">
        <v>39</v>
      </c>
      <c r="B93" s="43"/>
    </row>
    <row r="94" spans="1:2" ht="15" customHeight="1" x14ac:dyDescent="0.25">
      <c r="B94" s="57"/>
    </row>
    <row r="95" spans="1:2" ht="15" customHeight="1" x14ac:dyDescent="0.25">
      <c r="A95" s="58" t="s">
        <v>48</v>
      </c>
      <c r="B95" s="59"/>
    </row>
    <row r="96" spans="1:2" ht="15" customHeight="1" x14ac:dyDescent="0.25">
      <c r="A96" s="60" t="s">
        <v>49</v>
      </c>
      <c r="B96" s="41"/>
    </row>
    <row r="97" spans="1:2" ht="15" customHeight="1" x14ac:dyDescent="0.25">
      <c r="A97" s="60" t="s">
        <v>50</v>
      </c>
      <c r="B97" s="42"/>
    </row>
    <row r="98" spans="1:2" ht="15" customHeight="1" x14ac:dyDescent="0.25">
      <c r="A98" s="60" t="s">
        <v>51</v>
      </c>
      <c r="B98" s="42"/>
    </row>
    <row r="99" spans="1:2" ht="15" customHeight="1" x14ac:dyDescent="0.25">
      <c r="A99" s="60" t="s">
        <v>52</v>
      </c>
      <c r="B99" s="42"/>
    </row>
    <row r="100" spans="1:2" ht="15" customHeight="1" x14ac:dyDescent="0.25">
      <c r="A100" s="60" t="s">
        <v>53</v>
      </c>
      <c r="B100" s="42"/>
    </row>
    <row r="101" spans="1:2" ht="15" customHeight="1" x14ac:dyDescent="0.25">
      <c r="A101" s="60" t="s">
        <v>54</v>
      </c>
      <c r="B101" s="42"/>
    </row>
    <row r="102" spans="1:2" ht="15" customHeight="1" x14ac:dyDescent="0.25">
      <c r="A102" s="60" t="s">
        <v>55</v>
      </c>
      <c r="B102" s="42"/>
    </row>
    <row r="103" spans="1:2" ht="15" customHeight="1" x14ac:dyDescent="0.25">
      <c r="A103" s="60" t="s">
        <v>56</v>
      </c>
      <c r="B103" s="42"/>
    </row>
    <row r="104" spans="1:2" ht="15" customHeight="1" x14ac:dyDescent="0.25">
      <c r="A104" s="60" t="s">
        <v>57</v>
      </c>
      <c r="B104" s="42"/>
    </row>
    <row r="105" spans="1:2" ht="15" customHeight="1" x14ac:dyDescent="0.25">
      <c r="A105" s="60" t="s">
        <v>58</v>
      </c>
      <c r="B105" s="43"/>
    </row>
    <row r="106" spans="1:2" ht="15" customHeight="1" x14ac:dyDescent="0.25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topLeftCell="A46" workbookViewId="0">
      <selection activeCell="B83" sqref="B83"/>
    </sheetView>
  </sheetViews>
  <sheetFormatPr defaultColWidth="9.140625" defaultRowHeight="12.75" x14ac:dyDescent="0.2"/>
  <cols>
    <col min="1" max="1" width="28.7109375" customWidth="1"/>
    <col min="2" max="2" width="20.85546875" customWidth="1"/>
  </cols>
  <sheetData>
    <row r="1" spans="1:13" ht="15" customHeight="1" x14ac:dyDescent="0.2"/>
    <row r="2" spans="1:13" ht="15" customHeight="1" x14ac:dyDescent="0.25">
      <c r="A2" s="2"/>
    </row>
    <row r="3" spans="1:13" ht="15" customHeight="1" x14ac:dyDescent="0.25">
      <c r="A3" s="64" t="s">
        <v>70</v>
      </c>
      <c r="B3" s="77"/>
      <c r="C3" s="78"/>
      <c r="D3" s="78"/>
      <c r="E3" s="78"/>
      <c r="F3" s="78"/>
      <c r="G3" s="78"/>
      <c r="H3" s="78"/>
      <c r="I3" s="78"/>
      <c r="J3" s="78"/>
      <c r="K3" s="78"/>
      <c r="L3" s="78"/>
      <c r="M3" s="79"/>
    </row>
    <row r="4" spans="1:13" ht="15" customHeight="1" x14ac:dyDescent="0.25">
      <c r="A4" s="2"/>
      <c r="B4" s="80"/>
      <c r="C4" s="81"/>
      <c r="D4" s="81"/>
      <c r="E4" s="81"/>
      <c r="F4" s="81"/>
      <c r="G4" s="81"/>
      <c r="H4" s="81"/>
      <c r="I4" s="81"/>
      <c r="J4" s="81"/>
      <c r="K4" s="81"/>
      <c r="L4" s="81"/>
      <c r="M4" s="82"/>
    </row>
    <row r="5" spans="1:13" ht="15" customHeight="1" x14ac:dyDescent="0.25">
      <c r="A5" s="2"/>
      <c r="B5" s="80"/>
      <c r="C5" s="81"/>
      <c r="D5" s="81"/>
      <c r="E5" s="81"/>
      <c r="F5" s="81"/>
      <c r="G5" s="81"/>
      <c r="H5" s="81"/>
      <c r="I5" s="81"/>
      <c r="J5" s="81"/>
      <c r="K5" s="81"/>
      <c r="L5" s="81"/>
      <c r="M5" s="82"/>
    </row>
    <row r="6" spans="1:13" ht="15" customHeight="1" x14ac:dyDescent="0.25">
      <c r="A6" s="2"/>
      <c r="B6" s="83"/>
      <c r="C6" s="84"/>
      <c r="D6" s="84"/>
      <c r="E6" s="84"/>
      <c r="F6" s="84"/>
      <c r="G6" s="84"/>
      <c r="H6" s="84"/>
      <c r="I6" s="84"/>
      <c r="J6" s="84"/>
      <c r="K6" s="84"/>
      <c r="L6" s="84"/>
      <c r="M6" s="85"/>
    </row>
    <row r="7" spans="1:13" ht="15" customHeight="1" x14ac:dyDescent="0.25">
      <c r="A7" s="1" t="s">
        <v>66</v>
      </c>
      <c r="B7" s="65" t="s">
        <v>63</v>
      </c>
    </row>
    <row r="8" spans="1:13" ht="15" customHeight="1" x14ac:dyDescent="0.25">
      <c r="A8" s="6">
        <v>0.01</v>
      </c>
      <c r="B8" s="41"/>
    </row>
    <row r="9" spans="1:13" ht="15" customHeight="1" x14ac:dyDescent="0.25">
      <c r="A9" s="6">
        <v>0.02</v>
      </c>
      <c r="B9" s="51"/>
    </row>
    <row r="10" spans="1:13" ht="15" customHeight="1" x14ac:dyDescent="0.25">
      <c r="A10" s="6">
        <v>0.05</v>
      </c>
      <c r="B10" s="42"/>
    </row>
    <row r="11" spans="1:13" ht="15" customHeight="1" x14ac:dyDescent="0.25">
      <c r="A11" s="14">
        <v>0.1</v>
      </c>
      <c r="B11" s="42"/>
    </row>
    <row r="12" spans="1:13" ht="15" customHeight="1" x14ac:dyDescent="0.25">
      <c r="A12" s="14">
        <v>0.2</v>
      </c>
      <c r="B12" s="42"/>
    </row>
    <row r="13" spans="1:13" ht="15" customHeight="1" x14ac:dyDescent="0.25">
      <c r="A13" s="14">
        <v>0.5</v>
      </c>
      <c r="B13" s="42"/>
    </row>
    <row r="14" spans="1:13" ht="15" customHeight="1" x14ac:dyDescent="0.25">
      <c r="A14" s="6">
        <v>1</v>
      </c>
      <c r="B14" s="42"/>
    </row>
    <row r="15" spans="1:13" ht="15" customHeight="1" x14ac:dyDescent="0.25">
      <c r="A15" s="6">
        <v>2</v>
      </c>
      <c r="B15" s="42"/>
    </row>
    <row r="16" spans="1:13" ht="15" customHeight="1" x14ac:dyDescent="0.25">
      <c r="A16" s="6">
        <v>5</v>
      </c>
      <c r="B16" s="42"/>
    </row>
    <row r="17" spans="1:2" ht="15" customHeight="1" x14ac:dyDescent="0.25">
      <c r="A17" s="6">
        <v>10</v>
      </c>
      <c r="B17" s="42"/>
    </row>
    <row r="18" spans="1:2" ht="15" customHeight="1" x14ac:dyDescent="0.25">
      <c r="A18" s="6">
        <v>20</v>
      </c>
      <c r="B18" s="43"/>
    </row>
    <row r="19" spans="1:2" ht="15" customHeight="1" x14ac:dyDescent="0.25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25">
      <c r="A20" s="18" t="s">
        <v>41</v>
      </c>
      <c r="B20" s="45">
        <f>500-B19</f>
        <v>500</v>
      </c>
    </row>
    <row r="21" spans="1:2" ht="15" customHeight="1" x14ac:dyDescent="0.25">
      <c r="A21" s="2"/>
      <c r="B21" s="22"/>
    </row>
    <row r="22" spans="1:2" ht="15" customHeight="1" x14ac:dyDescent="0.25">
      <c r="A22" s="1" t="s">
        <v>67</v>
      </c>
      <c r="B22" s="40" t="str">
        <f>B7</f>
        <v>FRIDAY</v>
      </c>
    </row>
    <row r="23" spans="1:2" ht="15" customHeight="1" x14ac:dyDescent="0.25">
      <c r="A23" s="6">
        <v>0.01</v>
      </c>
      <c r="B23" s="41"/>
    </row>
    <row r="24" spans="1:2" ht="15" customHeight="1" x14ac:dyDescent="0.25">
      <c r="A24" s="6">
        <v>0.02</v>
      </c>
      <c r="B24" s="51"/>
    </row>
    <row r="25" spans="1:2" ht="15" customHeight="1" x14ac:dyDescent="0.25">
      <c r="A25" s="6">
        <v>0.05</v>
      </c>
      <c r="B25" s="42"/>
    </row>
    <row r="26" spans="1:2" ht="15" customHeight="1" x14ac:dyDescent="0.25">
      <c r="A26" s="14">
        <v>0.1</v>
      </c>
      <c r="B26" s="42"/>
    </row>
    <row r="27" spans="1:2" ht="15" customHeight="1" x14ac:dyDescent="0.25">
      <c r="A27" s="14">
        <v>0.2</v>
      </c>
      <c r="B27" s="42"/>
    </row>
    <row r="28" spans="1:2" ht="15" customHeight="1" x14ac:dyDescent="0.25">
      <c r="A28" s="14">
        <v>0.5</v>
      </c>
      <c r="B28" s="42"/>
    </row>
    <row r="29" spans="1:2" ht="15" customHeight="1" x14ac:dyDescent="0.25">
      <c r="A29" s="6">
        <v>1</v>
      </c>
      <c r="B29" s="42"/>
    </row>
    <row r="30" spans="1:2" ht="15" customHeight="1" x14ac:dyDescent="0.25">
      <c r="A30" s="6">
        <v>2</v>
      </c>
      <c r="B30" s="42"/>
    </row>
    <row r="31" spans="1:2" ht="15" customHeight="1" x14ac:dyDescent="0.25">
      <c r="A31" s="6">
        <v>5</v>
      </c>
      <c r="B31" s="42"/>
    </row>
    <row r="32" spans="1:2" ht="15" customHeight="1" x14ac:dyDescent="0.25">
      <c r="A32" s="6">
        <v>10</v>
      </c>
      <c r="B32" s="42"/>
    </row>
    <row r="33" spans="1:2" ht="15" customHeight="1" x14ac:dyDescent="0.25">
      <c r="A33" s="6">
        <v>20</v>
      </c>
      <c r="B33" s="43"/>
    </row>
    <row r="34" spans="1:2" ht="15" customHeight="1" x14ac:dyDescent="0.25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25">
      <c r="A35" s="2"/>
      <c r="B35" s="22"/>
    </row>
    <row r="36" spans="1:2" ht="15" customHeight="1" x14ac:dyDescent="0.25">
      <c r="A36" s="1" t="s">
        <v>68</v>
      </c>
      <c r="B36" s="40" t="str">
        <f>B7</f>
        <v>FRIDAY</v>
      </c>
    </row>
    <row r="37" spans="1:2" ht="15" customHeight="1" x14ac:dyDescent="0.25">
      <c r="A37" s="6">
        <v>0.01</v>
      </c>
      <c r="B37" s="41"/>
    </row>
    <row r="38" spans="1:2" ht="15" customHeight="1" x14ac:dyDescent="0.25">
      <c r="A38" s="6">
        <v>0.02</v>
      </c>
      <c r="B38" s="51"/>
    </row>
    <row r="39" spans="1:2" ht="15" customHeight="1" x14ac:dyDescent="0.25">
      <c r="A39" s="6">
        <v>0.05</v>
      </c>
      <c r="B39" s="42"/>
    </row>
    <row r="40" spans="1:2" ht="15" customHeight="1" x14ac:dyDescent="0.25">
      <c r="A40" s="14">
        <v>0.1</v>
      </c>
      <c r="B40" s="42"/>
    </row>
    <row r="41" spans="1:2" ht="15" customHeight="1" x14ac:dyDescent="0.25">
      <c r="A41" s="14">
        <v>0.2</v>
      </c>
      <c r="B41" s="42"/>
    </row>
    <row r="42" spans="1:2" ht="15" customHeight="1" x14ac:dyDescent="0.25">
      <c r="A42" s="14">
        <v>0.5</v>
      </c>
      <c r="B42" s="42"/>
    </row>
    <row r="43" spans="1:2" ht="15" customHeight="1" x14ac:dyDescent="0.25">
      <c r="A43" s="6">
        <v>1</v>
      </c>
      <c r="B43" s="42"/>
    </row>
    <row r="44" spans="1:2" ht="15" customHeight="1" x14ac:dyDescent="0.25">
      <c r="A44" s="6">
        <v>2</v>
      </c>
      <c r="B44" s="42"/>
    </row>
    <row r="45" spans="1:2" ht="15" customHeight="1" x14ac:dyDescent="0.25">
      <c r="A45" s="6">
        <v>5</v>
      </c>
      <c r="B45" s="42"/>
    </row>
    <row r="46" spans="1:2" ht="15" customHeight="1" x14ac:dyDescent="0.25">
      <c r="A46" s="6">
        <v>10</v>
      </c>
      <c r="B46" s="42"/>
    </row>
    <row r="47" spans="1:2" ht="15" customHeight="1" x14ac:dyDescent="0.25">
      <c r="A47" s="6">
        <v>20</v>
      </c>
      <c r="B47" s="43"/>
    </row>
    <row r="48" spans="1:2" ht="15" customHeight="1" x14ac:dyDescent="0.25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 x14ac:dyDescent="0.25">
      <c r="A49" s="2"/>
      <c r="B49" s="22"/>
    </row>
    <row r="50" spans="1:2" ht="15" customHeight="1" x14ac:dyDescent="0.25">
      <c r="A50" s="1" t="s">
        <v>69</v>
      </c>
      <c r="B50" s="40" t="str">
        <f>B7</f>
        <v>FRIDAY</v>
      </c>
    </row>
    <row r="51" spans="1:2" ht="15" customHeight="1" x14ac:dyDescent="0.25">
      <c r="A51" s="74" t="s">
        <v>6</v>
      </c>
      <c r="B51" s="41"/>
    </row>
    <row r="52" spans="1:2" ht="15" customHeight="1" x14ac:dyDescent="0.25">
      <c r="A52" s="75" t="s">
        <v>7</v>
      </c>
      <c r="B52" s="42"/>
    </row>
    <row r="53" spans="1:2" ht="15" customHeight="1" x14ac:dyDescent="0.25">
      <c r="A53" s="75" t="s">
        <v>8</v>
      </c>
      <c r="B53" s="42"/>
    </row>
    <row r="54" spans="1:2" ht="15" customHeight="1" x14ac:dyDescent="0.25">
      <c r="A54" s="75" t="s">
        <v>9</v>
      </c>
      <c r="B54" s="42"/>
    </row>
    <row r="55" spans="1:2" ht="15" customHeight="1" x14ac:dyDescent="0.25">
      <c r="A55" s="75" t="s">
        <v>10</v>
      </c>
      <c r="B55" s="42"/>
    </row>
    <row r="56" spans="1:2" ht="15" customHeight="1" x14ac:dyDescent="0.25">
      <c r="A56" s="75" t="s">
        <v>11</v>
      </c>
      <c r="B56" s="42"/>
    </row>
    <row r="57" spans="1:2" ht="15" customHeight="1" x14ac:dyDescent="0.25">
      <c r="A57" s="75" t="s">
        <v>12</v>
      </c>
      <c r="B57" s="42"/>
    </row>
    <row r="58" spans="1:2" ht="15" customHeight="1" x14ac:dyDescent="0.25">
      <c r="A58" s="76" t="s">
        <v>13</v>
      </c>
      <c r="B58" s="43"/>
    </row>
    <row r="59" spans="1:2" ht="15" customHeight="1" x14ac:dyDescent="0.25">
      <c r="A59" s="18" t="s">
        <v>2</v>
      </c>
      <c r="B59" s="44">
        <f>SUM(B51:B58)</f>
        <v>0</v>
      </c>
    </row>
    <row r="60" spans="1:2" ht="15" customHeight="1" x14ac:dyDescent="0.25">
      <c r="A60" s="2"/>
      <c r="B60" s="23"/>
    </row>
    <row r="61" spans="1:2" ht="15" customHeight="1" x14ac:dyDescent="0.25">
      <c r="A61" s="1" t="s">
        <v>14</v>
      </c>
      <c r="B61" s="40" t="str">
        <f>B7</f>
        <v>FRIDAY</v>
      </c>
    </row>
    <row r="62" spans="1:2" ht="15" customHeight="1" x14ac:dyDescent="0.25">
      <c r="A62" s="18" t="s">
        <v>42</v>
      </c>
      <c r="B62" s="46" t="s">
        <v>43</v>
      </c>
    </row>
    <row r="63" spans="1:2" ht="15" customHeight="1" x14ac:dyDescent="0.25">
      <c r="A63" s="18" t="s">
        <v>44</v>
      </c>
      <c r="B63" s="42"/>
    </row>
    <row r="64" spans="1:2" ht="15" customHeight="1" x14ac:dyDescent="0.25">
      <c r="A64" s="18" t="s">
        <v>17</v>
      </c>
      <c r="B64" s="43"/>
    </row>
    <row r="65" spans="1:2" ht="15" customHeight="1" x14ac:dyDescent="0.25">
      <c r="A65" s="18" t="s">
        <v>2</v>
      </c>
      <c r="B65" s="47">
        <f>SUM(B63:B64)</f>
        <v>0</v>
      </c>
    </row>
    <row r="66" spans="1:2" ht="15" customHeight="1" x14ac:dyDescent="0.25">
      <c r="A66" s="2"/>
      <c r="B66" s="23"/>
    </row>
    <row r="67" spans="1:2" ht="15" customHeight="1" x14ac:dyDescent="0.25">
      <c r="A67" s="1" t="s">
        <v>18</v>
      </c>
      <c r="B67" s="40" t="str">
        <f>B7</f>
        <v>FRIDAY</v>
      </c>
    </row>
    <row r="68" spans="1:2" ht="15" customHeight="1" x14ac:dyDescent="0.25">
      <c r="A68" s="18" t="s">
        <v>19</v>
      </c>
      <c r="B68" s="48"/>
    </row>
    <row r="69" spans="1:2" ht="15" customHeight="1" x14ac:dyDescent="0.25">
      <c r="A69" s="18" t="s">
        <v>20</v>
      </c>
      <c r="B69" s="42"/>
    </row>
    <row r="70" spans="1:2" ht="15" customHeight="1" x14ac:dyDescent="0.25">
      <c r="A70" s="18" t="s">
        <v>21</v>
      </c>
      <c r="B70" s="42"/>
    </row>
    <row r="71" spans="1:2" ht="15" customHeight="1" x14ac:dyDescent="0.25">
      <c r="A71" s="18" t="s">
        <v>22</v>
      </c>
      <c r="B71" s="42"/>
    </row>
    <row r="72" spans="1:2" ht="15" customHeight="1" x14ac:dyDescent="0.25">
      <c r="A72" s="18" t="s">
        <v>23</v>
      </c>
      <c r="B72" s="42"/>
    </row>
    <row r="73" spans="1:2" ht="15" customHeight="1" x14ac:dyDescent="0.25">
      <c r="A73" s="18" t="s">
        <v>24</v>
      </c>
      <c r="B73" s="43"/>
    </row>
    <row r="74" spans="1:2" ht="15" customHeight="1" x14ac:dyDescent="0.25">
      <c r="A74" s="18" t="s">
        <v>72</v>
      </c>
      <c r="B74" s="86">
        <f>B75-SUM(B68:B73)</f>
        <v>0</v>
      </c>
    </row>
    <row r="75" spans="1:2" ht="15" customHeight="1" x14ac:dyDescent="0.25">
      <c r="A75" s="18" t="s">
        <v>2</v>
      </c>
      <c r="B75" s="87"/>
    </row>
    <row r="76" spans="1:2" ht="15" customHeight="1" x14ac:dyDescent="0.25">
      <c r="A76" s="2"/>
      <c r="B76" s="26"/>
    </row>
    <row r="77" spans="1:2" ht="15" customHeight="1" x14ac:dyDescent="0.25">
      <c r="A77" s="49" t="s">
        <v>25</v>
      </c>
      <c r="B77" s="50">
        <f>B34</f>
        <v>0</v>
      </c>
    </row>
    <row r="78" spans="1:2" ht="15" customHeight="1" x14ac:dyDescent="0.25">
      <c r="A78" s="18" t="s">
        <v>45</v>
      </c>
      <c r="B78" s="51"/>
    </row>
    <row r="79" spans="1:2" ht="15" customHeight="1" x14ac:dyDescent="0.25">
      <c r="A79" s="18" t="s">
        <v>46</v>
      </c>
      <c r="B79" s="52"/>
    </row>
    <row r="80" spans="1:2" ht="15" customHeight="1" x14ac:dyDescent="0.25">
      <c r="A80" s="18" t="s">
        <v>71</v>
      </c>
      <c r="B80" s="66"/>
    </row>
    <row r="81" spans="1:2" ht="15" customHeight="1" x14ac:dyDescent="0.25">
      <c r="A81" s="18" t="s">
        <v>27</v>
      </c>
      <c r="B81" s="53">
        <f>B65</f>
        <v>0</v>
      </c>
    </row>
    <row r="82" spans="1:2" ht="15" customHeight="1" x14ac:dyDescent="0.25">
      <c r="A82" s="18" t="s">
        <v>28</v>
      </c>
      <c r="B82" s="54">
        <f>B59</f>
        <v>0</v>
      </c>
    </row>
    <row r="83" spans="1:2" ht="15" customHeight="1" x14ac:dyDescent="0.25">
      <c r="A83" s="18" t="s">
        <v>29</v>
      </c>
      <c r="B83" s="47">
        <f>B77+B78+B79+B80+B81+B82</f>
        <v>0</v>
      </c>
    </row>
    <row r="84" spans="1:2" ht="15" customHeight="1" x14ac:dyDescent="0.25">
      <c r="A84" s="2"/>
      <c r="B84" s="26"/>
    </row>
    <row r="85" spans="1:2" ht="15" customHeight="1" x14ac:dyDescent="0.25">
      <c r="A85" s="18" t="s">
        <v>30</v>
      </c>
      <c r="B85" s="55">
        <f>B83-B75</f>
        <v>0</v>
      </c>
    </row>
    <row r="86" spans="1:2" ht="15" customHeight="1" x14ac:dyDescent="0.25">
      <c r="A86" s="2"/>
      <c r="B86" s="23"/>
    </row>
    <row r="87" spans="1:2" ht="15" customHeight="1" x14ac:dyDescent="0.25">
      <c r="A87" s="2"/>
      <c r="B87" s="2"/>
    </row>
    <row r="88" spans="1:2" ht="15" customHeight="1" x14ac:dyDescent="0.25">
      <c r="A88" s="2" t="s">
        <v>34</v>
      </c>
      <c r="B88" s="56" t="str">
        <f>B7</f>
        <v>FRIDAY</v>
      </c>
    </row>
    <row r="89" spans="1:2" ht="15" customHeight="1" x14ac:dyDescent="0.25">
      <c r="A89" s="18" t="s">
        <v>35</v>
      </c>
      <c r="B89" s="41"/>
    </row>
    <row r="90" spans="1:2" ht="15" customHeight="1" x14ac:dyDescent="0.25">
      <c r="A90" s="18" t="s">
        <v>36</v>
      </c>
      <c r="B90" s="42"/>
    </row>
    <row r="91" spans="1:2" ht="15" customHeight="1" x14ac:dyDescent="0.25">
      <c r="A91" s="18" t="s">
        <v>37</v>
      </c>
      <c r="B91" s="42"/>
    </row>
    <row r="92" spans="1:2" ht="15" customHeight="1" x14ac:dyDescent="0.25">
      <c r="A92" s="18" t="s">
        <v>47</v>
      </c>
      <c r="B92" s="42"/>
    </row>
    <row r="93" spans="1:2" ht="15" customHeight="1" x14ac:dyDescent="0.25">
      <c r="A93" s="18" t="s">
        <v>39</v>
      </c>
      <c r="B93" s="43"/>
    </row>
    <row r="94" spans="1:2" ht="15" customHeight="1" x14ac:dyDescent="0.25">
      <c r="B94" s="57"/>
    </row>
    <row r="95" spans="1:2" ht="15" customHeight="1" x14ac:dyDescent="0.25">
      <c r="A95" s="58" t="s">
        <v>48</v>
      </c>
      <c r="B95" s="59"/>
    </row>
    <row r="96" spans="1:2" ht="15" customHeight="1" x14ac:dyDescent="0.25">
      <c r="A96" s="60" t="s">
        <v>49</v>
      </c>
      <c r="B96" s="41"/>
    </row>
    <row r="97" spans="1:2" ht="15" customHeight="1" x14ac:dyDescent="0.25">
      <c r="A97" s="60" t="s">
        <v>50</v>
      </c>
      <c r="B97" s="42"/>
    </row>
    <row r="98" spans="1:2" ht="15" customHeight="1" x14ac:dyDescent="0.25">
      <c r="A98" s="60" t="s">
        <v>51</v>
      </c>
      <c r="B98" s="42"/>
    </row>
    <row r="99" spans="1:2" ht="15" customHeight="1" x14ac:dyDescent="0.25">
      <c r="A99" s="60" t="s">
        <v>52</v>
      </c>
      <c r="B99" s="42"/>
    </row>
    <row r="100" spans="1:2" ht="15" customHeight="1" x14ac:dyDescent="0.25">
      <c r="A100" s="60" t="s">
        <v>53</v>
      </c>
      <c r="B100" s="42"/>
    </row>
    <row r="101" spans="1:2" ht="15" customHeight="1" x14ac:dyDescent="0.25">
      <c r="A101" s="60" t="s">
        <v>54</v>
      </c>
      <c r="B101" s="42"/>
    </row>
    <row r="102" spans="1:2" ht="15" customHeight="1" x14ac:dyDescent="0.25">
      <c r="A102" s="60" t="s">
        <v>55</v>
      </c>
      <c r="B102" s="42"/>
    </row>
    <row r="103" spans="1:2" ht="15" customHeight="1" x14ac:dyDescent="0.25">
      <c r="A103" s="60" t="s">
        <v>56</v>
      </c>
      <c r="B103" s="42"/>
    </row>
    <row r="104" spans="1:2" ht="15" customHeight="1" x14ac:dyDescent="0.25">
      <c r="A104" s="60" t="s">
        <v>57</v>
      </c>
      <c r="B104" s="42"/>
    </row>
    <row r="105" spans="1:2" ht="15" customHeight="1" x14ac:dyDescent="0.25">
      <c r="A105" s="60" t="s">
        <v>58</v>
      </c>
      <c r="B105" s="43"/>
    </row>
    <row r="106" spans="1:2" ht="15" customHeight="1" x14ac:dyDescent="0.25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workbookViewId="0">
      <selection activeCell="B1" sqref="B1"/>
    </sheetView>
  </sheetViews>
  <sheetFormatPr defaultColWidth="9.140625" defaultRowHeight="12.75" x14ac:dyDescent="0.2"/>
  <cols>
    <col min="1" max="1" width="28.7109375" customWidth="1"/>
    <col min="2" max="2" width="20.85546875" customWidth="1"/>
  </cols>
  <sheetData>
    <row r="1" spans="1:13" ht="15" customHeight="1" x14ac:dyDescent="0.2"/>
    <row r="2" spans="1:13" ht="15" customHeight="1" x14ac:dyDescent="0.25">
      <c r="A2" s="2"/>
    </row>
    <row r="3" spans="1:13" ht="15" customHeight="1" x14ac:dyDescent="0.25">
      <c r="A3" s="64" t="s">
        <v>70</v>
      </c>
      <c r="B3" s="77"/>
      <c r="C3" s="78"/>
      <c r="D3" s="78"/>
      <c r="E3" s="78"/>
      <c r="F3" s="78"/>
      <c r="G3" s="78"/>
      <c r="H3" s="78"/>
      <c r="I3" s="78"/>
      <c r="J3" s="78"/>
      <c r="K3" s="78"/>
      <c r="L3" s="78"/>
      <c r="M3" s="79"/>
    </row>
    <row r="4" spans="1:13" ht="15" customHeight="1" x14ac:dyDescent="0.25">
      <c r="A4" s="2"/>
      <c r="B4" s="80"/>
      <c r="C4" s="81"/>
      <c r="D4" s="81"/>
      <c r="E4" s="81"/>
      <c r="F4" s="81"/>
      <c r="G4" s="81"/>
      <c r="H4" s="81"/>
      <c r="I4" s="81"/>
      <c r="J4" s="81"/>
      <c r="K4" s="81"/>
      <c r="L4" s="81"/>
      <c r="M4" s="82"/>
    </row>
    <row r="5" spans="1:13" ht="15" customHeight="1" x14ac:dyDescent="0.25">
      <c r="A5" s="2"/>
      <c r="B5" s="80"/>
      <c r="C5" s="81"/>
      <c r="D5" s="81"/>
      <c r="E5" s="81"/>
      <c r="F5" s="81"/>
      <c r="G5" s="81"/>
      <c r="H5" s="81"/>
      <c r="I5" s="81"/>
      <c r="J5" s="81"/>
      <c r="K5" s="81"/>
      <c r="L5" s="81"/>
      <c r="M5" s="82"/>
    </row>
    <row r="6" spans="1:13" ht="15" customHeight="1" x14ac:dyDescent="0.25">
      <c r="A6" s="2"/>
      <c r="B6" s="83"/>
      <c r="C6" s="84"/>
      <c r="D6" s="84"/>
      <c r="E6" s="84"/>
      <c r="F6" s="84"/>
      <c r="G6" s="84"/>
      <c r="H6" s="84"/>
      <c r="I6" s="84"/>
      <c r="J6" s="84"/>
      <c r="K6" s="84"/>
      <c r="L6" s="84"/>
      <c r="M6" s="85"/>
    </row>
    <row r="7" spans="1:13" ht="15" customHeight="1" x14ac:dyDescent="0.25">
      <c r="A7" s="1" t="s">
        <v>66</v>
      </c>
      <c r="B7" s="65" t="s">
        <v>64</v>
      </c>
    </row>
    <row r="8" spans="1:13" ht="15" customHeight="1" x14ac:dyDescent="0.25">
      <c r="A8" s="6">
        <v>0.01</v>
      </c>
      <c r="B8" s="41"/>
    </row>
    <row r="9" spans="1:13" ht="15" customHeight="1" x14ac:dyDescent="0.25">
      <c r="A9" s="6">
        <v>0.02</v>
      </c>
      <c r="B9" s="51"/>
    </row>
    <row r="10" spans="1:13" ht="15" customHeight="1" x14ac:dyDescent="0.25">
      <c r="A10" s="6">
        <v>0.05</v>
      </c>
      <c r="B10" s="42"/>
    </row>
    <row r="11" spans="1:13" ht="15" customHeight="1" x14ac:dyDescent="0.25">
      <c r="A11" s="14">
        <v>0.1</v>
      </c>
      <c r="B11" s="42"/>
    </row>
    <row r="12" spans="1:13" ht="15" customHeight="1" x14ac:dyDescent="0.25">
      <c r="A12" s="14">
        <v>0.2</v>
      </c>
      <c r="B12" s="42"/>
    </row>
    <row r="13" spans="1:13" ht="15" customHeight="1" x14ac:dyDescent="0.25">
      <c r="A13" s="14">
        <v>0.5</v>
      </c>
      <c r="B13" s="42"/>
    </row>
    <row r="14" spans="1:13" ht="15" customHeight="1" x14ac:dyDescent="0.25">
      <c r="A14" s="6">
        <v>1</v>
      </c>
      <c r="B14" s="42"/>
    </row>
    <row r="15" spans="1:13" ht="15" customHeight="1" x14ac:dyDescent="0.25">
      <c r="A15" s="6">
        <v>2</v>
      </c>
      <c r="B15" s="42"/>
    </row>
    <row r="16" spans="1:13" ht="15" customHeight="1" x14ac:dyDescent="0.25">
      <c r="A16" s="6">
        <v>5</v>
      </c>
      <c r="B16" s="42"/>
    </row>
    <row r="17" spans="1:2" ht="15" customHeight="1" x14ac:dyDescent="0.25">
      <c r="A17" s="6">
        <v>10</v>
      </c>
      <c r="B17" s="42"/>
    </row>
    <row r="18" spans="1:2" ht="15" customHeight="1" x14ac:dyDescent="0.25">
      <c r="A18" s="6">
        <v>20</v>
      </c>
      <c r="B18" s="43"/>
    </row>
    <row r="19" spans="1:2" ht="15" customHeight="1" x14ac:dyDescent="0.25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25">
      <c r="A20" s="18" t="s">
        <v>41</v>
      </c>
      <c r="B20" s="45">
        <f>500-B19</f>
        <v>500</v>
      </c>
    </row>
    <row r="21" spans="1:2" ht="15" customHeight="1" x14ac:dyDescent="0.25">
      <c r="A21" s="2"/>
      <c r="B21" s="22"/>
    </row>
    <row r="22" spans="1:2" ht="15" customHeight="1" x14ac:dyDescent="0.25">
      <c r="A22" s="1" t="s">
        <v>67</v>
      </c>
      <c r="B22" s="40" t="str">
        <f>B7</f>
        <v>SATURDAY</v>
      </c>
    </row>
    <row r="23" spans="1:2" ht="15" customHeight="1" x14ac:dyDescent="0.25">
      <c r="A23" s="6">
        <v>0.01</v>
      </c>
      <c r="B23" s="41"/>
    </row>
    <row r="24" spans="1:2" ht="15" customHeight="1" x14ac:dyDescent="0.25">
      <c r="A24" s="6">
        <v>0.02</v>
      </c>
      <c r="B24" s="51"/>
    </row>
    <row r="25" spans="1:2" ht="15" customHeight="1" x14ac:dyDescent="0.25">
      <c r="A25" s="6">
        <v>0.05</v>
      </c>
      <c r="B25" s="42"/>
    </row>
    <row r="26" spans="1:2" ht="15" customHeight="1" x14ac:dyDescent="0.25">
      <c r="A26" s="14">
        <v>0.1</v>
      </c>
      <c r="B26" s="42"/>
    </row>
    <row r="27" spans="1:2" ht="15" customHeight="1" x14ac:dyDescent="0.25">
      <c r="A27" s="14">
        <v>0.2</v>
      </c>
      <c r="B27" s="42"/>
    </row>
    <row r="28" spans="1:2" ht="15" customHeight="1" x14ac:dyDescent="0.25">
      <c r="A28" s="14">
        <v>0.5</v>
      </c>
      <c r="B28" s="42"/>
    </row>
    <row r="29" spans="1:2" ht="15" customHeight="1" x14ac:dyDescent="0.25">
      <c r="A29" s="6">
        <v>1</v>
      </c>
      <c r="B29" s="42"/>
    </row>
    <row r="30" spans="1:2" ht="15" customHeight="1" x14ac:dyDescent="0.25">
      <c r="A30" s="6">
        <v>2</v>
      </c>
      <c r="B30" s="42"/>
    </row>
    <row r="31" spans="1:2" ht="15" customHeight="1" x14ac:dyDescent="0.25">
      <c r="A31" s="6">
        <v>5</v>
      </c>
      <c r="B31" s="42"/>
    </row>
    <row r="32" spans="1:2" ht="15" customHeight="1" x14ac:dyDescent="0.25">
      <c r="A32" s="6">
        <v>10</v>
      </c>
      <c r="B32" s="42"/>
    </row>
    <row r="33" spans="1:2" ht="15" customHeight="1" x14ac:dyDescent="0.25">
      <c r="A33" s="6">
        <v>20</v>
      </c>
      <c r="B33" s="43"/>
    </row>
    <row r="34" spans="1:2" ht="15" customHeight="1" x14ac:dyDescent="0.25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25">
      <c r="A35" s="2"/>
      <c r="B35" s="22"/>
    </row>
    <row r="36" spans="1:2" ht="15" customHeight="1" x14ac:dyDescent="0.25">
      <c r="A36" s="1" t="s">
        <v>68</v>
      </c>
      <c r="B36" s="40" t="str">
        <f>B7</f>
        <v>SATURDAY</v>
      </c>
    </row>
    <row r="37" spans="1:2" ht="15" customHeight="1" x14ac:dyDescent="0.25">
      <c r="A37" s="6">
        <v>0.01</v>
      </c>
      <c r="B37" s="41"/>
    </row>
    <row r="38" spans="1:2" ht="15" customHeight="1" x14ac:dyDescent="0.25">
      <c r="A38" s="6">
        <v>0.02</v>
      </c>
      <c r="B38" s="51"/>
    </row>
    <row r="39" spans="1:2" ht="15" customHeight="1" x14ac:dyDescent="0.25">
      <c r="A39" s="6">
        <v>0.05</v>
      </c>
      <c r="B39" s="42"/>
    </row>
    <row r="40" spans="1:2" ht="15" customHeight="1" x14ac:dyDescent="0.25">
      <c r="A40" s="14">
        <v>0.1</v>
      </c>
      <c r="B40" s="42"/>
    </row>
    <row r="41" spans="1:2" ht="15" customHeight="1" x14ac:dyDescent="0.25">
      <c r="A41" s="14">
        <v>0.2</v>
      </c>
      <c r="B41" s="42"/>
    </row>
    <row r="42" spans="1:2" ht="15" customHeight="1" x14ac:dyDescent="0.25">
      <c r="A42" s="14">
        <v>0.5</v>
      </c>
      <c r="B42" s="42"/>
    </row>
    <row r="43" spans="1:2" ht="15" customHeight="1" x14ac:dyDescent="0.25">
      <c r="A43" s="6">
        <v>1</v>
      </c>
      <c r="B43" s="42"/>
    </row>
    <row r="44" spans="1:2" ht="15" customHeight="1" x14ac:dyDescent="0.25">
      <c r="A44" s="6">
        <v>2</v>
      </c>
      <c r="B44" s="42"/>
    </row>
    <row r="45" spans="1:2" ht="15" customHeight="1" x14ac:dyDescent="0.25">
      <c r="A45" s="6">
        <v>5</v>
      </c>
      <c r="B45" s="42"/>
    </row>
    <row r="46" spans="1:2" ht="15" customHeight="1" x14ac:dyDescent="0.25">
      <c r="A46" s="6">
        <v>10</v>
      </c>
      <c r="B46" s="42"/>
    </row>
    <row r="47" spans="1:2" ht="15" customHeight="1" x14ac:dyDescent="0.25">
      <c r="A47" s="6">
        <v>20</v>
      </c>
      <c r="B47" s="43"/>
    </row>
    <row r="48" spans="1:2" ht="15" customHeight="1" x14ac:dyDescent="0.25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 x14ac:dyDescent="0.25">
      <c r="A49" s="2"/>
      <c r="B49" s="22"/>
    </row>
    <row r="50" spans="1:2" ht="15" customHeight="1" x14ac:dyDescent="0.25">
      <c r="A50" s="1" t="s">
        <v>69</v>
      </c>
      <c r="B50" s="40" t="str">
        <f>B7</f>
        <v>SATURDAY</v>
      </c>
    </row>
    <row r="51" spans="1:2" ht="15" customHeight="1" x14ac:dyDescent="0.25">
      <c r="A51" s="74" t="s">
        <v>6</v>
      </c>
      <c r="B51" s="41"/>
    </row>
    <row r="52" spans="1:2" ht="15" customHeight="1" x14ac:dyDescent="0.25">
      <c r="A52" s="75" t="s">
        <v>7</v>
      </c>
      <c r="B52" s="42"/>
    </row>
    <row r="53" spans="1:2" ht="15" customHeight="1" x14ac:dyDescent="0.25">
      <c r="A53" s="75" t="s">
        <v>8</v>
      </c>
      <c r="B53" s="42"/>
    </row>
    <row r="54" spans="1:2" ht="15" customHeight="1" x14ac:dyDescent="0.25">
      <c r="A54" s="75" t="s">
        <v>9</v>
      </c>
      <c r="B54" s="42"/>
    </row>
    <row r="55" spans="1:2" ht="15" customHeight="1" x14ac:dyDescent="0.25">
      <c r="A55" s="75" t="s">
        <v>10</v>
      </c>
      <c r="B55" s="42"/>
    </row>
    <row r="56" spans="1:2" ht="15" customHeight="1" x14ac:dyDescent="0.25">
      <c r="A56" s="75" t="s">
        <v>11</v>
      </c>
      <c r="B56" s="42"/>
    </row>
    <row r="57" spans="1:2" ht="15" customHeight="1" x14ac:dyDescent="0.25">
      <c r="A57" s="75" t="s">
        <v>12</v>
      </c>
      <c r="B57" s="42"/>
    </row>
    <row r="58" spans="1:2" ht="15" customHeight="1" x14ac:dyDescent="0.25">
      <c r="A58" s="76" t="s">
        <v>13</v>
      </c>
      <c r="B58" s="43"/>
    </row>
    <row r="59" spans="1:2" ht="15" customHeight="1" x14ac:dyDescent="0.25">
      <c r="A59" s="18" t="s">
        <v>2</v>
      </c>
      <c r="B59" s="44">
        <f>SUM(B51:B58)</f>
        <v>0</v>
      </c>
    </row>
    <row r="60" spans="1:2" ht="15" customHeight="1" x14ac:dyDescent="0.25">
      <c r="A60" s="2"/>
      <c r="B60" s="23"/>
    </row>
    <row r="61" spans="1:2" ht="15" customHeight="1" x14ac:dyDescent="0.25">
      <c r="A61" s="1" t="s">
        <v>14</v>
      </c>
      <c r="B61" s="40" t="str">
        <f>B7</f>
        <v>SATURDAY</v>
      </c>
    </row>
    <row r="62" spans="1:2" ht="15" customHeight="1" x14ac:dyDescent="0.25">
      <c r="A62" s="18" t="s">
        <v>42</v>
      </c>
      <c r="B62" s="46" t="s">
        <v>43</v>
      </c>
    </row>
    <row r="63" spans="1:2" ht="15" customHeight="1" x14ac:dyDescent="0.25">
      <c r="A63" s="18" t="s">
        <v>44</v>
      </c>
      <c r="B63" s="42"/>
    </row>
    <row r="64" spans="1:2" ht="15" customHeight="1" x14ac:dyDescent="0.25">
      <c r="A64" s="18" t="s">
        <v>17</v>
      </c>
      <c r="B64" s="43"/>
    </row>
    <row r="65" spans="1:2" ht="15" customHeight="1" x14ac:dyDescent="0.25">
      <c r="A65" s="18" t="s">
        <v>2</v>
      </c>
      <c r="B65" s="47">
        <f>SUM(B63:B64)</f>
        <v>0</v>
      </c>
    </row>
    <row r="66" spans="1:2" ht="15" customHeight="1" x14ac:dyDescent="0.25">
      <c r="A66" s="2"/>
      <c r="B66" s="23"/>
    </row>
    <row r="67" spans="1:2" ht="15" customHeight="1" x14ac:dyDescent="0.25">
      <c r="A67" s="1" t="s">
        <v>18</v>
      </c>
      <c r="B67" s="40" t="str">
        <f>B7</f>
        <v>SATURDAY</v>
      </c>
    </row>
    <row r="68" spans="1:2" ht="15" customHeight="1" x14ac:dyDescent="0.25">
      <c r="A68" s="18" t="s">
        <v>19</v>
      </c>
      <c r="B68" s="48"/>
    </row>
    <row r="69" spans="1:2" ht="15" customHeight="1" x14ac:dyDescent="0.25">
      <c r="A69" s="18" t="s">
        <v>20</v>
      </c>
      <c r="B69" s="42"/>
    </row>
    <row r="70" spans="1:2" ht="15" customHeight="1" x14ac:dyDescent="0.25">
      <c r="A70" s="18" t="s">
        <v>21</v>
      </c>
      <c r="B70" s="42"/>
    </row>
    <row r="71" spans="1:2" ht="15" customHeight="1" x14ac:dyDescent="0.25">
      <c r="A71" s="18" t="s">
        <v>22</v>
      </c>
      <c r="B71" s="42"/>
    </row>
    <row r="72" spans="1:2" ht="15" customHeight="1" x14ac:dyDescent="0.25">
      <c r="A72" s="18" t="s">
        <v>23</v>
      </c>
      <c r="B72" s="42"/>
    </row>
    <row r="73" spans="1:2" ht="15" customHeight="1" x14ac:dyDescent="0.25">
      <c r="A73" s="18" t="s">
        <v>24</v>
      </c>
      <c r="B73" s="43"/>
    </row>
    <row r="74" spans="1:2" ht="15" customHeight="1" x14ac:dyDescent="0.25">
      <c r="A74" s="18" t="s">
        <v>72</v>
      </c>
      <c r="B74" s="86">
        <f>B75-SUM(B68:B73)</f>
        <v>0</v>
      </c>
    </row>
    <row r="75" spans="1:2" ht="15" customHeight="1" x14ac:dyDescent="0.25">
      <c r="A75" s="18" t="s">
        <v>2</v>
      </c>
      <c r="B75" s="87"/>
    </row>
    <row r="76" spans="1:2" ht="15" customHeight="1" x14ac:dyDescent="0.25">
      <c r="A76" s="2"/>
      <c r="B76" s="26"/>
    </row>
    <row r="77" spans="1:2" ht="15" customHeight="1" x14ac:dyDescent="0.25">
      <c r="A77" s="49" t="s">
        <v>25</v>
      </c>
      <c r="B77" s="50">
        <f>B34</f>
        <v>0</v>
      </c>
    </row>
    <row r="78" spans="1:2" ht="15" customHeight="1" x14ac:dyDescent="0.25">
      <c r="A78" s="18" t="s">
        <v>45</v>
      </c>
      <c r="B78" s="51"/>
    </row>
    <row r="79" spans="1:2" ht="15" customHeight="1" x14ac:dyDescent="0.25">
      <c r="A79" s="18" t="s">
        <v>46</v>
      </c>
      <c r="B79" s="52"/>
    </row>
    <row r="80" spans="1:2" ht="15" customHeight="1" x14ac:dyDescent="0.25">
      <c r="A80" s="18" t="s">
        <v>71</v>
      </c>
      <c r="B80" s="66"/>
    </row>
    <row r="81" spans="1:2" ht="15" customHeight="1" x14ac:dyDescent="0.25">
      <c r="A81" s="18" t="s">
        <v>27</v>
      </c>
      <c r="B81" s="53">
        <f>B65</f>
        <v>0</v>
      </c>
    </row>
    <row r="82" spans="1:2" ht="15" customHeight="1" x14ac:dyDescent="0.25">
      <c r="A82" s="18" t="s">
        <v>28</v>
      </c>
      <c r="B82" s="54">
        <f>B59</f>
        <v>0</v>
      </c>
    </row>
    <row r="83" spans="1:2" ht="15" customHeight="1" x14ac:dyDescent="0.25">
      <c r="A83" s="18" t="s">
        <v>29</v>
      </c>
      <c r="B83" s="47">
        <f>B77+B78+B79+B80+B81+B82</f>
        <v>0</v>
      </c>
    </row>
    <row r="84" spans="1:2" ht="15" customHeight="1" x14ac:dyDescent="0.25">
      <c r="A84" s="2"/>
      <c r="B84" s="26"/>
    </row>
    <row r="85" spans="1:2" ht="15" customHeight="1" x14ac:dyDescent="0.25">
      <c r="A85" s="18" t="s">
        <v>30</v>
      </c>
      <c r="B85" s="55">
        <f>B83-B75</f>
        <v>0</v>
      </c>
    </row>
    <row r="86" spans="1:2" ht="15" customHeight="1" x14ac:dyDescent="0.25">
      <c r="A86" s="2"/>
      <c r="B86" s="23"/>
    </row>
    <row r="87" spans="1:2" ht="15" customHeight="1" x14ac:dyDescent="0.25">
      <c r="A87" s="2"/>
      <c r="B87" s="2"/>
    </row>
    <row r="88" spans="1:2" ht="15" customHeight="1" x14ac:dyDescent="0.25">
      <c r="A88" s="2" t="s">
        <v>34</v>
      </c>
      <c r="B88" s="56" t="str">
        <f>B7</f>
        <v>SATURDAY</v>
      </c>
    </row>
    <row r="89" spans="1:2" ht="15" customHeight="1" x14ac:dyDescent="0.25">
      <c r="A89" s="18" t="s">
        <v>35</v>
      </c>
      <c r="B89" s="41"/>
    </row>
    <row r="90" spans="1:2" ht="15" customHeight="1" x14ac:dyDescent="0.25">
      <c r="A90" s="18" t="s">
        <v>36</v>
      </c>
      <c r="B90" s="42"/>
    </row>
    <row r="91" spans="1:2" ht="15" customHeight="1" x14ac:dyDescent="0.25">
      <c r="A91" s="18" t="s">
        <v>37</v>
      </c>
      <c r="B91" s="42"/>
    </row>
    <row r="92" spans="1:2" ht="15" customHeight="1" x14ac:dyDescent="0.25">
      <c r="A92" s="18" t="s">
        <v>47</v>
      </c>
      <c r="B92" s="42"/>
    </row>
    <row r="93" spans="1:2" ht="15" customHeight="1" x14ac:dyDescent="0.25">
      <c r="A93" s="18" t="s">
        <v>39</v>
      </c>
      <c r="B93" s="43"/>
    </row>
    <row r="94" spans="1:2" ht="15" customHeight="1" x14ac:dyDescent="0.25">
      <c r="B94" s="57"/>
    </row>
    <row r="95" spans="1:2" ht="15" customHeight="1" x14ac:dyDescent="0.25">
      <c r="A95" s="58" t="s">
        <v>48</v>
      </c>
      <c r="B95" s="59"/>
    </row>
    <row r="96" spans="1:2" ht="15" customHeight="1" x14ac:dyDescent="0.25">
      <c r="A96" s="60" t="s">
        <v>49</v>
      </c>
      <c r="B96" s="41"/>
    </row>
    <row r="97" spans="1:2" ht="15" customHeight="1" x14ac:dyDescent="0.25">
      <c r="A97" s="60" t="s">
        <v>50</v>
      </c>
      <c r="B97" s="42"/>
    </row>
    <row r="98" spans="1:2" ht="15" customHeight="1" x14ac:dyDescent="0.25">
      <c r="A98" s="60" t="s">
        <v>51</v>
      </c>
      <c r="B98" s="42"/>
    </row>
    <row r="99" spans="1:2" ht="15" customHeight="1" x14ac:dyDescent="0.25">
      <c r="A99" s="60" t="s">
        <v>52</v>
      </c>
      <c r="B99" s="42"/>
    </row>
    <row r="100" spans="1:2" ht="15" customHeight="1" x14ac:dyDescent="0.25">
      <c r="A100" s="60" t="s">
        <v>53</v>
      </c>
      <c r="B100" s="42"/>
    </row>
    <row r="101" spans="1:2" ht="15" customHeight="1" x14ac:dyDescent="0.25">
      <c r="A101" s="60" t="s">
        <v>54</v>
      </c>
      <c r="B101" s="42"/>
    </row>
    <row r="102" spans="1:2" ht="15" customHeight="1" x14ac:dyDescent="0.25">
      <c r="A102" s="60" t="s">
        <v>55</v>
      </c>
      <c r="B102" s="42"/>
    </row>
    <row r="103" spans="1:2" ht="15" customHeight="1" x14ac:dyDescent="0.25">
      <c r="A103" s="60" t="s">
        <v>56</v>
      </c>
      <c r="B103" s="42"/>
    </row>
    <row r="104" spans="1:2" ht="15" customHeight="1" x14ac:dyDescent="0.25">
      <c r="A104" s="60" t="s">
        <v>57</v>
      </c>
      <c r="B104" s="42"/>
    </row>
    <row r="105" spans="1:2" ht="15" customHeight="1" x14ac:dyDescent="0.25">
      <c r="A105" s="60" t="s">
        <v>58</v>
      </c>
      <c r="B105" s="43"/>
    </row>
    <row r="106" spans="1:2" ht="15" customHeight="1" x14ac:dyDescent="0.25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workbookViewId="0">
      <selection activeCell="B75" sqref="B75"/>
    </sheetView>
  </sheetViews>
  <sheetFormatPr defaultColWidth="9.140625" defaultRowHeight="12.75" x14ac:dyDescent="0.2"/>
  <cols>
    <col min="1" max="1" width="43.85546875" customWidth="1"/>
    <col min="2" max="2" width="20.85546875" customWidth="1"/>
  </cols>
  <sheetData>
    <row r="1" spans="1:13" ht="15" customHeight="1" x14ac:dyDescent="0.2"/>
    <row r="2" spans="1:13" ht="15" customHeight="1" x14ac:dyDescent="0.25">
      <c r="A2" s="2"/>
    </row>
    <row r="3" spans="1:13" ht="15" customHeight="1" x14ac:dyDescent="0.25">
      <c r="A3" s="64" t="s">
        <v>70</v>
      </c>
      <c r="B3" s="77"/>
      <c r="C3" s="78"/>
      <c r="D3" s="78"/>
      <c r="E3" s="78"/>
      <c r="F3" s="78"/>
      <c r="G3" s="78"/>
      <c r="H3" s="78"/>
      <c r="I3" s="78"/>
      <c r="J3" s="78"/>
      <c r="K3" s="78"/>
      <c r="L3" s="78"/>
      <c r="M3" s="79"/>
    </row>
    <row r="4" spans="1:13" ht="15" customHeight="1" x14ac:dyDescent="0.25">
      <c r="A4" s="2"/>
      <c r="B4" s="80"/>
      <c r="C4" s="81"/>
      <c r="D4" s="81"/>
      <c r="E4" s="81"/>
      <c r="F4" s="81"/>
      <c r="G4" s="81"/>
      <c r="H4" s="81"/>
      <c r="I4" s="81"/>
      <c r="J4" s="81"/>
      <c r="K4" s="81"/>
      <c r="L4" s="81"/>
      <c r="M4" s="82"/>
    </row>
    <row r="5" spans="1:13" ht="15" customHeight="1" x14ac:dyDescent="0.25">
      <c r="A5" s="2"/>
      <c r="B5" s="80"/>
      <c r="C5" s="81"/>
      <c r="D5" s="81"/>
      <c r="E5" s="81"/>
      <c r="F5" s="81"/>
      <c r="G5" s="81"/>
      <c r="H5" s="81"/>
      <c r="I5" s="81"/>
      <c r="J5" s="81"/>
      <c r="K5" s="81"/>
      <c r="L5" s="81"/>
      <c r="M5" s="82"/>
    </row>
    <row r="6" spans="1:13" ht="15" customHeight="1" x14ac:dyDescent="0.25">
      <c r="A6" s="2"/>
      <c r="B6" s="83"/>
      <c r="C6" s="84"/>
      <c r="D6" s="84"/>
      <c r="E6" s="84"/>
      <c r="F6" s="84"/>
      <c r="G6" s="84"/>
      <c r="H6" s="84"/>
      <c r="I6" s="84"/>
      <c r="J6" s="84"/>
      <c r="K6" s="84"/>
      <c r="L6" s="84"/>
      <c r="M6" s="85"/>
    </row>
    <row r="7" spans="1:13" ht="15" customHeight="1" x14ac:dyDescent="0.25">
      <c r="A7" s="1" t="s">
        <v>66</v>
      </c>
      <c r="B7" s="65" t="s">
        <v>65</v>
      </c>
    </row>
    <row r="8" spans="1:13" ht="15" customHeight="1" x14ac:dyDescent="0.25">
      <c r="A8" s="6">
        <v>0.01</v>
      </c>
      <c r="B8" s="41"/>
    </row>
    <row r="9" spans="1:13" ht="15" customHeight="1" x14ac:dyDescent="0.25">
      <c r="A9" s="6">
        <v>0.02</v>
      </c>
      <c r="B9" s="51"/>
    </row>
    <row r="10" spans="1:13" ht="15" customHeight="1" x14ac:dyDescent="0.25">
      <c r="A10" s="6">
        <v>0.05</v>
      </c>
      <c r="B10" s="42"/>
    </row>
    <row r="11" spans="1:13" ht="15" customHeight="1" x14ac:dyDescent="0.25">
      <c r="A11" s="14">
        <v>0.1</v>
      </c>
      <c r="B11" s="42"/>
    </row>
    <row r="12" spans="1:13" ht="15" customHeight="1" x14ac:dyDescent="0.25">
      <c r="A12" s="14">
        <v>0.2</v>
      </c>
      <c r="B12" s="42"/>
    </row>
    <row r="13" spans="1:13" ht="15" customHeight="1" x14ac:dyDescent="0.25">
      <c r="A13" s="14">
        <v>0.5</v>
      </c>
      <c r="B13" s="42"/>
    </row>
    <row r="14" spans="1:13" ht="15" customHeight="1" x14ac:dyDescent="0.25">
      <c r="A14" s="6">
        <v>1</v>
      </c>
      <c r="B14" s="42"/>
    </row>
    <row r="15" spans="1:13" ht="15" customHeight="1" x14ac:dyDescent="0.25">
      <c r="A15" s="6">
        <v>2</v>
      </c>
      <c r="B15" s="42"/>
    </row>
    <row r="16" spans="1:13" ht="15" customHeight="1" x14ac:dyDescent="0.25">
      <c r="A16" s="6">
        <v>5</v>
      </c>
      <c r="B16" s="42"/>
    </row>
    <row r="17" spans="1:2" ht="15" customHeight="1" x14ac:dyDescent="0.25">
      <c r="A17" s="6">
        <v>10</v>
      </c>
      <c r="B17" s="42"/>
    </row>
    <row r="18" spans="1:2" ht="15" customHeight="1" x14ac:dyDescent="0.25">
      <c r="A18" s="6">
        <v>20</v>
      </c>
      <c r="B18" s="43"/>
    </row>
    <row r="19" spans="1:2" ht="15" customHeight="1" x14ac:dyDescent="0.25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25">
      <c r="A20" s="18" t="s">
        <v>41</v>
      </c>
      <c r="B20" s="45">
        <f>500-B19</f>
        <v>500</v>
      </c>
    </row>
    <row r="21" spans="1:2" ht="15" customHeight="1" x14ac:dyDescent="0.25">
      <c r="A21" s="2"/>
      <c r="B21" s="22"/>
    </row>
    <row r="22" spans="1:2" ht="15" customHeight="1" x14ac:dyDescent="0.25">
      <c r="A22" s="1" t="s">
        <v>67</v>
      </c>
      <c r="B22" s="40" t="str">
        <f>B7</f>
        <v>SUNDAY</v>
      </c>
    </row>
    <row r="23" spans="1:2" ht="15" customHeight="1" x14ac:dyDescent="0.25">
      <c r="A23" s="6">
        <v>0.01</v>
      </c>
      <c r="B23" s="41"/>
    </row>
    <row r="24" spans="1:2" ht="15" customHeight="1" x14ac:dyDescent="0.25">
      <c r="A24" s="6">
        <v>0.02</v>
      </c>
      <c r="B24" s="51"/>
    </row>
    <row r="25" spans="1:2" ht="15" customHeight="1" x14ac:dyDescent="0.25">
      <c r="A25" s="6">
        <v>0.05</v>
      </c>
      <c r="B25" s="42"/>
    </row>
    <row r="26" spans="1:2" ht="15" customHeight="1" x14ac:dyDescent="0.25">
      <c r="A26" s="14">
        <v>0.1</v>
      </c>
      <c r="B26" s="42"/>
    </row>
    <row r="27" spans="1:2" ht="15" customHeight="1" x14ac:dyDescent="0.25">
      <c r="A27" s="14">
        <v>0.2</v>
      </c>
      <c r="B27" s="42"/>
    </row>
    <row r="28" spans="1:2" ht="15" customHeight="1" x14ac:dyDescent="0.25">
      <c r="A28" s="14">
        <v>0.5</v>
      </c>
      <c r="B28" s="42"/>
    </row>
    <row r="29" spans="1:2" ht="15" customHeight="1" x14ac:dyDescent="0.25">
      <c r="A29" s="6">
        <v>1</v>
      </c>
      <c r="B29" s="42"/>
    </row>
    <row r="30" spans="1:2" ht="15" customHeight="1" x14ac:dyDescent="0.25">
      <c r="A30" s="6">
        <v>2</v>
      </c>
      <c r="B30" s="42"/>
    </row>
    <row r="31" spans="1:2" ht="15" customHeight="1" x14ac:dyDescent="0.25">
      <c r="A31" s="6">
        <v>5</v>
      </c>
      <c r="B31" s="42"/>
    </row>
    <row r="32" spans="1:2" ht="15" customHeight="1" x14ac:dyDescent="0.25">
      <c r="A32" s="6">
        <v>10</v>
      </c>
      <c r="B32" s="42"/>
    </row>
    <row r="33" spans="1:2" ht="15" customHeight="1" x14ac:dyDescent="0.25">
      <c r="A33" s="6">
        <v>20</v>
      </c>
      <c r="B33" s="43"/>
    </row>
    <row r="34" spans="1:2" ht="15" customHeight="1" x14ac:dyDescent="0.25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25">
      <c r="A35" s="2"/>
      <c r="B35" s="22"/>
    </row>
    <row r="36" spans="1:2" ht="15" customHeight="1" x14ac:dyDescent="0.25">
      <c r="A36" s="1" t="s">
        <v>68</v>
      </c>
      <c r="B36" s="40" t="str">
        <f>B7</f>
        <v>SUNDAY</v>
      </c>
    </row>
    <row r="37" spans="1:2" ht="15" customHeight="1" x14ac:dyDescent="0.25">
      <c r="A37" s="6">
        <v>0.01</v>
      </c>
      <c r="B37" s="41"/>
    </row>
    <row r="38" spans="1:2" ht="15" customHeight="1" x14ac:dyDescent="0.25">
      <c r="A38" s="6">
        <v>0.02</v>
      </c>
      <c r="B38" s="51"/>
    </row>
    <row r="39" spans="1:2" ht="15" customHeight="1" x14ac:dyDescent="0.25">
      <c r="A39" s="6">
        <v>0.05</v>
      </c>
      <c r="B39" s="42"/>
    </row>
    <row r="40" spans="1:2" ht="15" customHeight="1" x14ac:dyDescent="0.25">
      <c r="A40" s="14">
        <v>0.1</v>
      </c>
      <c r="B40" s="42"/>
    </row>
    <row r="41" spans="1:2" ht="15" customHeight="1" x14ac:dyDescent="0.25">
      <c r="A41" s="14">
        <v>0.2</v>
      </c>
      <c r="B41" s="42"/>
    </row>
    <row r="42" spans="1:2" ht="15" customHeight="1" x14ac:dyDescent="0.25">
      <c r="A42" s="14">
        <v>0.5</v>
      </c>
      <c r="B42" s="42"/>
    </row>
    <row r="43" spans="1:2" ht="15" customHeight="1" x14ac:dyDescent="0.25">
      <c r="A43" s="6">
        <v>1</v>
      </c>
      <c r="B43" s="42"/>
    </row>
    <row r="44" spans="1:2" ht="15" customHeight="1" x14ac:dyDescent="0.25">
      <c r="A44" s="6">
        <v>2</v>
      </c>
      <c r="B44" s="42"/>
    </row>
    <row r="45" spans="1:2" ht="15" customHeight="1" x14ac:dyDescent="0.25">
      <c r="A45" s="6">
        <v>5</v>
      </c>
      <c r="B45" s="42"/>
    </row>
    <row r="46" spans="1:2" ht="15" customHeight="1" x14ac:dyDescent="0.25">
      <c r="A46" s="6">
        <v>10</v>
      </c>
      <c r="B46" s="42"/>
    </row>
    <row r="47" spans="1:2" ht="15" customHeight="1" x14ac:dyDescent="0.25">
      <c r="A47" s="6">
        <v>20</v>
      </c>
      <c r="B47" s="43"/>
    </row>
    <row r="48" spans="1:2" ht="15" customHeight="1" x14ac:dyDescent="0.25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 x14ac:dyDescent="0.25">
      <c r="A49" s="2"/>
      <c r="B49" s="22"/>
    </row>
    <row r="50" spans="1:2" ht="15" customHeight="1" x14ac:dyDescent="0.25">
      <c r="A50" s="72" t="s">
        <v>69</v>
      </c>
      <c r="B50" s="40" t="str">
        <f>B7</f>
        <v>SUNDAY</v>
      </c>
    </row>
    <row r="51" spans="1:2" ht="15" customHeight="1" x14ac:dyDescent="0.25">
      <c r="A51" s="74" t="s">
        <v>6</v>
      </c>
      <c r="B51" s="69"/>
    </row>
    <row r="52" spans="1:2" ht="15" customHeight="1" x14ac:dyDescent="0.25">
      <c r="A52" s="75" t="s">
        <v>7</v>
      </c>
      <c r="B52" s="70"/>
    </row>
    <row r="53" spans="1:2" ht="15" customHeight="1" x14ac:dyDescent="0.25">
      <c r="A53" s="75" t="s">
        <v>8</v>
      </c>
      <c r="B53" s="70"/>
    </row>
    <row r="54" spans="1:2" ht="15" customHeight="1" x14ac:dyDescent="0.25">
      <c r="A54" s="75" t="s">
        <v>9</v>
      </c>
      <c r="B54" s="70"/>
    </row>
    <row r="55" spans="1:2" ht="15" customHeight="1" x14ac:dyDescent="0.25">
      <c r="A55" s="75" t="s">
        <v>10</v>
      </c>
      <c r="B55" s="70"/>
    </row>
    <row r="56" spans="1:2" ht="15" customHeight="1" x14ac:dyDescent="0.25">
      <c r="A56" s="75" t="s">
        <v>11</v>
      </c>
      <c r="B56" s="70"/>
    </row>
    <row r="57" spans="1:2" ht="15" customHeight="1" x14ac:dyDescent="0.25">
      <c r="A57" s="75" t="s">
        <v>12</v>
      </c>
      <c r="B57" s="70"/>
    </row>
    <row r="58" spans="1:2" ht="15" customHeight="1" x14ac:dyDescent="0.25">
      <c r="A58" s="76" t="s">
        <v>13</v>
      </c>
      <c r="B58" s="71"/>
    </row>
    <row r="59" spans="1:2" ht="15" customHeight="1" x14ac:dyDescent="0.25">
      <c r="A59" s="73" t="s">
        <v>2</v>
      </c>
      <c r="B59" s="44">
        <f>SUM(B51:B58)</f>
        <v>0</v>
      </c>
    </row>
    <row r="60" spans="1:2" ht="15" customHeight="1" x14ac:dyDescent="0.25">
      <c r="A60" s="2"/>
      <c r="B60" s="23"/>
    </row>
    <row r="61" spans="1:2" ht="15" customHeight="1" x14ac:dyDescent="0.25">
      <c r="A61" s="1" t="s">
        <v>14</v>
      </c>
      <c r="B61" s="40" t="str">
        <f>B7</f>
        <v>SUNDAY</v>
      </c>
    </row>
    <row r="62" spans="1:2" ht="15" customHeight="1" x14ac:dyDescent="0.25">
      <c r="A62" s="18" t="s">
        <v>42</v>
      </c>
      <c r="B62" s="46" t="s">
        <v>43</v>
      </c>
    </row>
    <row r="63" spans="1:2" ht="15" customHeight="1" x14ac:dyDescent="0.25">
      <c r="A63" s="18" t="s">
        <v>44</v>
      </c>
      <c r="B63" s="42"/>
    </row>
    <row r="64" spans="1:2" ht="15" customHeight="1" x14ac:dyDescent="0.25">
      <c r="A64" s="18" t="s">
        <v>17</v>
      </c>
      <c r="B64" s="43"/>
    </row>
    <row r="65" spans="1:2" ht="15" customHeight="1" x14ac:dyDescent="0.25">
      <c r="A65" s="18" t="s">
        <v>2</v>
      </c>
      <c r="B65" s="47">
        <f>SUM(B63:B64)</f>
        <v>0</v>
      </c>
    </row>
    <row r="66" spans="1:2" ht="15" customHeight="1" x14ac:dyDescent="0.25">
      <c r="A66" s="2"/>
      <c r="B66" s="23"/>
    </row>
    <row r="67" spans="1:2" ht="15" customHeight="1" x14ac:dyDescent="0.25">
      <c r="A67" s="1" t="s">
        <v>18</v>
      </c>
      <c r="B67" s="40" t="str">
        <f>B7</f>
        <v>SUNDAY</v>
      </c>
    </row>
    <row r="68" spans="1:2" ht="15" customHeight="1" x14ac:dyDescent="0.25">
      <c r="A68" s="18" t="s">
        <v>19</v>
      </c>
      <c r="B68" s="48"/>
    </row>
    <row r="69" spans="1:2" ht="15" customHeight="1" x14ac:dyDescent="0.25">
      <c r="A69" s="18" t="s">
        <v>20</v>
      </c>
      <c r="B69" s="42"/>
    </row>
    <row r="70" spans="1:2" ht="15" customHeight="1" x14ac:dyDescent="0.25">
      <c r="A70" s="18" t="s">
        <v>21</v>
      </c>
      <c r="B70" s="42"/>
    </row>
    <row r="71" spans="1:2" ht="15" customHeight="1" x14ac:dyDescent="0.25">
      <c r="A71" s="18" t="s">
        <v>22</v>
      </c>
      <c r="B71" s="42"/>
    </row>
    <row r="72" spans="1:2" ht="15" customHeight="1" x14ac:dyDescent="0.25">
      <c r="A72" s="18" t="s">
        <v>23</v>
      </c>
      <c r="B72" s="42"/>
    </row>
    <row r="73" spans="1:2" ht="15" customHeight="1" x14ac:dyDescent="0.25">
      <c r="A73" s="18" t="s">
        <v>24</v>
      </c>
      <c r="B73" s="43"/>
    </row>
    <row r="74" spans="1:2" ht="15" customHeight="1" x14ac:dyDescent="0.25">
      <c r="A74" s="18" t="s">
        <v>72</v>
      </c>
      <c r="B74" s="86">
        <f>B75-SUM(B68:B73)</f>
        <v>0</v>
      </c>
    </row>
    <row r="75" spans="1:2" ht="15" customHeight="1" x14ac:dyDescent="0.25">
      <c r="A75" s="18" t="s">
        <v>2</v>
      </c>
      <c r="B75" s="87"/>
    </row>
    <row r="76" spans="1:2" ht="15" customHeight="1" x14ac:dyDescent="0.25">
      <c r="A76" s="2"/>
      <c r="B76" s="26"/>
    </row>
    <row r="77" spans="1:2" ht="15" customHeight="1" x14ac:dyDescent="0.25">
      <c r="A77" s="49" t="s">
        <v>25</v>
      </c>
      <c r="B77" s="50">
        <f>B34</f>
        <v>0</v>
      </c>
    </row>
    <row r="78" spans="1:2" ht="15" customHeight="1" x14ac:dyDescent="0.25">
      <c r="A78" s="18" t="s">
        <v>45</v>
      </c>
      <c r="B78" s="51"/>
    </row>
    <row r="79" spans="1:2" ht="15" customHeight="1" x14ac:dyDescent="0.25">
      <c r="A79" s="18" t="s">
        <v>46</v>
      </c>
      <c r="B79" s="52"/>
    </row>
    <row r="80" spans="1:2" ht="15" customHeight="1" x14ac:dyDescent="0.25">
      <c r="A80" s="18" t="s">
        <v>71</v>
      </c>
      <c r="B80" s="66"/>
    </row>
    <row r="81" spans="1:2" ht="15" customHeight="1" x14ac:dyDescent="0.25">
      <c r="A81" s="18" t="s">
        <v>27</v>
      </c>
      <c r="B81" s="53">
        <f>B65</f>
        <v>0</v>
      </c>
    </row>
    <row r="82" spans="1:2" ht="15" customHeight="1" x14ac:dyDescent="0.25">
      <c r="A82" s="18" t="s">
        <v>28</v>
      </c>
      <c r="B82" s="54">
        <f>B59</f>
        <v>0</v>
      </c>
    </row>
    <row r="83" spans="1:2" ht="15" customHeight="1" x14ac:dyDescent="0.25">
      <c r="A83" s="18" t="s">
        <v>29</v>
      </c>
      <c r="B83" s="47">
        <f>B77+B78+B79+B80+B81+B82</f>
        <v>0</v>
      </c>
    </row>
    <row r="84" spans="1:2" ht="15" customHeight="1" x14ac:dyDescent="0.25">
      <c r="A84" s="2"/>
      <c r="B84" s="26"/>
    </row>
    <row r="85" spans="1:2" ht="15" customHeight="1" x14ac:dyDescent="0.25">
      <c r="A85" s="18" t="s">
        <v>30</v>
      </c>
      <c r="B85" s="55">
        <f>B83-B75</f>
        <v>0</v>
      </c>
    </row>
    <row r="86" spans="1:2" ht="15" customHeight="1" x14ac:dyDescent="0.25">
      <c r="A86" s="2"/>
      <c r="B86" s="23"/>
    </row>
    <row r="87" spans="1:2" ht="15" customHeight="1" x14ac:dyDescent="0.25">
      <c r="A87" s="2"/>
      <c r="B87" s="2"/>
    </row>
    <row r="88" spans="1:2" ht="15" customHeight="1" x14ac:dyDescent="0.25">
      <c r="A88" s="2" t="s">
        <v>34</v>
      </c>
      <c r="B88" s="56" t="str">
        <f>B7</f>
        <v>SUNDAY</v>
      </c>
    </row>
    <row r="89" spans="1:2" ht="15" customHeight="1" x14ac:dyDescent="0.25">
      <c r="A89" s="18" t="s">
        <v>35</v>
      </c>
      <c r="B89" s="41"/>
    </row>
    <row r="90" spans="1:2" ht="15" customHeight="1" x14ac:dyDescent="0.25">
      <c r="A90" s="18" t="s">
        <v>36</v>
      </c>
      <c r="B90" s="42"/>
    </row>
    <row r="91" spans="1:2" ht="15" customHeight="1" x14ac:dyDescent="0.25">
      <c r="A91" s="18" t="s">
        <v>37</v>
      </c>
      <c r="B91" s="42"/>
    </row>
    <row r="92" spans="1:2" ht="15" customHeight="1" x14ac:dyDescent="0.25">
      <c r="A92" s="18" t="s">
        <v>47</v>
      </c>
      <c r="B92" s="42"/>
    </row>
    <row r="93" spans="1:2" ht="15" customHeight="1" x14ac:dyDescent="0.25">
      <c r="A93" s="18" t="s">
        <v>39</v>
      </c>
      <c r="B93" s="43"/>
    </row>
    <row r="94" spans="1:2" ht="15" customHeight="1" x14ac:dyDescent="0.25">
      <c r="B94" s="57"/>
    </row>
    <row r="95" spans="1:2" ht="15" customHeight="1" x14ac:dyDescent="0.25">
      <c r="A95" s="58" t="s">
        <v>48</v>
      </c>
      <c r="B95" s="59"/>
    </row>
    <row r="96" spans="1:2" ht="15" customHeight="1" x14ac:dyDescent="0.25">
      <c r="A96" s="60" t="s">
        <v>49</v>
      </c>
      <c r="B96" s="41"/>
    </row>
    <row r="97" spans="1:2" ht="15" customHeight="1" x14ac:dyDescent="0.25">
      <c r="A97" s="60" t="s">
        <v>50</v>
      </c>
      <c r="B97" s="42"/>
    </row>
    <row r="98" spans="1:2" ht="15" customHeight="1" x14ac:dyDescent="0.25">
      <c r="A98" s="60" t="s">
        <v>51</v>
      </c>
      <c r="B98" s="42"/>
    </row>
    <row r="99" spans="1:2" ht="15" customHeight="1" x14ac:dyDescent="0.25">
      <c r="A99" s="60" t="s">
        <v>52</v>
      </c>
      <c r="B99" s="42"/>
    </row>
    <row r="100" spans="1:2" ht="15" customHeight="1" x14ac:dyDescent="0.25">
      <c r="A100" s="60" t="s">
        <v>53</v>
      </c>
      <c r="B100" s="42"/>
    </row>
    <row r="101" spans="1:2" ht="15" customHeight="1" x14ac:dyDescent="0.25">
      <c r="A101" s="60" t="s">
        <v>54</v>
      </c>
      <c r="B101" s="42"/>
    </row>
    <row r="102" spans="1:2" ht="15" customHeight="1" x14ac:dyDescent="0.25">
      <c r="A102" s="60" t="s">
        <v>55</v>
      </c>
      <c r="B102" s="42"/>
    </row>
    <row r="103" spans="1:2" ht="15" customHeight="1" x14ac:dyDescent="0.25">
      <c r="A103" s="60" t="s">
        <v>56</v>
      </c>
      <c r="B103" s="42"/>
    </row>
    <row r="104" spans="1:2" ht="15" customHeight="1" x14ac:dyDescent="0.25">
      <c r="A104" s="60" t="s">
        <v>57</v>
      </c>
      <c r="B104" s="42"/>
    </row>
    <row r="105" spans="1:2" ht="15" customHeight="1" x14ac:dyDescent="0.25">
      <c r="A105" s="60" t="s">
        <v>58</v>
      </c>
      <c r="B105" s="43"/>
    </row>
    <row r="106" spans="1:2" ht="15" customHeight="1" x14ac:dyDescent="0.25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workbookViewId="0">
      <selection activeCell="B29" sqref="B29"/>
    </sheetView>
  </sheetViews>
  <sheetFormatPr defaultColWidth="9.140625" defaultRowHeight="12.75" x14ac:dyDescent="0.2"/>
  <cols>
    <col min="1" max="1" width="28.7109375" customWidth="1"/>
    <col min="2" max="9" width="20.85546875" customWidth="1"/>
  </cols>
  <sheetData>
    <row r="1" spans="1:9" ht="15" customHeight="1" x14ac:dyDescent="0.2">
      <c r="A1" s="61"/>
    </row>
    <row r="2" spans="1:9" ht="15" customHeight="1" x14ac:dyDescent="0.25">
      <c r="A2" s="2"/>
    </row>
    <row r="3" spans="1:9" ht="15" customHeight="1" x14ac:dyDescent="0.25">
      <c r="A3" s="1" t="str">
        <f>MON!A7</f>
        <v>TILL FLOAT (No. of coins/notes)</v>
      </c>
      <c r="B3" s="40" t="str">
        <f>MON!B7</f>
        <v>MONDAY</v>
      </c>
      <c r="C3" s="40" t="str">
        <f>TUES!B7</f>
        <v>TUESDAY</v>
      </c>
      <c r="D3" s="40" t="str">
        <f>WED!B7</f>
        <v>WEDNESDAY</v>
      </c>
      <c r="E3" s="40" t="str">
        <f>THUR!B7</f>
        <v>THURSDAY</v>
      </c>
      <c r="F3" s="40" t="str">
        <f>FRI!B7</f>
        <v>FRIDAY</v>
      </c>
      <c r="G3" s="40" t="str">
        <f>SAT!B7</f>
        <v>SATURDAY</v>
      </c>
      <c r="H3" s="40" t="str">
        <f>SUN!B7</f>
        <v>SUNDAY</v>
      </c>
      <c r="I3" s="40" t="s">
        <v>29</v>
      </c>
    </row>
    <row r="4" spans="1:9" ht="15" customHeight="1" x14ac:dyDescent="0.25">
      <c r="A4" s="6">
        <f>MON!A8</f>
        <v>0.01</v>
      </c>
      <c r="B4" s="41">
        <f>MON!B8</f>
        <v>0</v>
      </c>
      <c r="C4" s="41">
        <f>TUES!B8</f>
        <v>0</v>
      </c>
      <c r="D4" s="41">
        <f>WED!B8</f>
        <v>0</v>
      </c>
      <c r="E4" s="41">
        <f>THUR!B8</f>
        <v>0</v>
      </c>
      <c r="F4" s="41">
        <f>FRI!B8</f>
        <v>0</v>
      </c>
      <c r="G4" s="41">
        <f>SAT!B8</f>
        <v>0</v>
      </c>
      <c r="H4" s="41">
        <f>SUN!B8</f>
        <v>0</v>
      </c>
      <c r="I4" s="41">
        <f t="shared" ref="I4" si="0">SUM(B4:H4)</f>
        <v>0</v>
      </c>
    </row>
    <row r="5" spans="1:9" ht="15" customHeight="1" x14ac:dyDescent="0.25">
      <c r="A5" s="6">
        <f>MON!A9</f>
        <v>0.02</v>
      </c>
      <c r="B5" s="51">
        <f>MON!B9</f>
        <v>0</v>
      </c>
      <c r="C5" s="51">
        <f>TUES!B9</f>
        <v>0</v>
      </c>
      <c r="D5" s="51">
        <f>WED!B9</f>
        <v>0</v>
      </c>
      <c r="E5" s="51">
        <f>THUR!B9</f>
        <v>0</v>
      </c>
      <c r="F5" s="51">
        <f>FRI!B9</f>
        <v>0</v>
      </c>
      <c r="G5" s="51">
        <f>SAT!B9</f>
        <v>0</v>
      </c>
      <c r="H5" s="51">
        <f>SUN!B9</f>
        <v>0</v>
      </c>
      <c r="I5" s="51">
        <f t="shared" ref="I5:I7" si="1">SUM(B5:H5)</f>
        <v>0</v>
      </c>
    </row>
    <row r="6" spans="1:9" ht="15" customHeight="1" x14ac:dyDescent="0.25">
      <c r="A6" s="6">
        <f>MON!A10</f>
        <v>0.05</v>
      </c>
      <c r="B6" s="42">
        <f>MON!B10</f>
        <v>0</v>
      </c>
      <c r="C6" s="42">
        <f>TUES!B10</f>
        <v>0</v>
      </c>
      <c r="D6" s="42">
        <f>WED!B10</f>
        <v>0</v>
      </c>
      <c r="E6" s="42">
        <f>THUR!B10</f>
        <v>0</v>
      </c>
      <c r="F6" s="42">
        <f>FRI!B10</f>
        <v>0</v>
      </c>
      <c r="G6" s="42">
        <f>SAT!B10</f>
        <v>0</v>
      </c>
      <c r="H6" s="42">
        <f>SUN!B10</f>
        <v>0</v>
      </c>
      <c r="I6" s="42">
        <f t="shared" si="1"/>
        <v>0</v>
      </c>
    </row>
    <row r="7" spans="1:9" ht="15" customHeight="1" x14ac:dyDescent="0.25">
      <c r="A7" s="14">
        <f>MON!A11</f>
        <v>0.1</v>
      </c>
      <c r="B7" s="42">
        <f>MON!B11</f>
        <v>0</v>
      </c>
      <c r="C7" s="42">
        <f>TUES!B11</f>
        <v>0</v>
      </c>
      <c r="D7" s="42">
        <f>WED!B11</f>
        <v>0</v>
      </c>
      <c r="E7" s="42">
        <f>THUR!B11</f>
        <v>0</v>
      </c>
      <c r="F7" s="42">
        <f>FRI!B11</f>
        <v>0</v>
      </c>
      <c r="G7" s="42">
        <f>SAT!B11</f>
        <v>0</v>
      </c>
      <c r="H7" s="42">
        <f>SUN!B11</f>
        <v>0</v>
      </c>
      <c r="I7" s="42">
        <f t="shared" si="1"/>
        <v>0</v>
      </c>
    </row>
    <row r="8" spans="1:9" ht="15" customHeight="1" x14ac:dyDescent="0.25">
      <c r="A8" s="14">
        <f>MON!A12</f>
        <v>0.2</v>
      </c>
      <c r="B8" s="42">
        <f>MON!B12</f>
        <v>0</v>
      </c>
      <c r="C8" s="42">
        <f>TUES!B12</f>
        <v>0</v>
      </c>
      <c r="D8" s="42">
        <f>WED!B12</f>
        <v>0</v>
      </c>
      <c r="E8" s="42">
        <f>THUR!B12</f>
        <v>0</v>
      </c>
      <c r="F8" s="42">
        <f>FRI!B12</f>
        <v>0</v>
      </c>
      <c r="G8" s="42">
        <f>SAT!B12</f>
        <v>0</v>
      </c>
      <c r="H8" s="42">
        <f>SUN!B12</f>
        <v>0</v>
      </c>
      <c r="I8" s="42">
        <f t="shared" ref="I8:I14" si="2">SUM(B8:H8)</f>
        <v>0</v>
      </c>
    </row>
    <row r="9" spans="1:9" ht="15" customHeight="1" x14ac:dyDescent="0.25">
      <c r="A9" s="14">
        <f>MON!A13</f>
        <v>0.5</v>
      </c>
      <c r="B9" s="42">
        <f>MON!B13</f>
        <v>0</v>
      </c>
      <c r="C9" s="42">
        <f>TUES!B13</f>
        <v>0</v>
      </c>
      <c r="D9" s="42">
        <f>WED!B13</f>
        <v>0</v>
      </c>
      <c r="E9" s="42">
        <f>THUR!B13</f>
        <v>0</v>
      </c>
      <c r="F9" s="42">
        <f>FRI!B13</f>
        <v>0</v>
      </c>
      <c r="G9" s="42">
        <f>SAT!B13</f>
        <v>0</v>
      </c>
      <c r="H9" s="42">
        <f>SUN!B13</f>
        <v>0</v>
      </c>
      <c r="I9" s="42">
        <f t="shared" si="2"/>
        <v>0</v>
      </c>
    </row>
    <row r="10" spans="1:9" ht="15" customHeight="1" x14ac:dyDescent="0.25">
      <c r="A10" s="6">
        <f>MON!A14</f>
        <v>1</v>
      </c>
      <c r="B10" s="42">
        <f>MON!B14</f>
        <v>0</v>
      </c>
      <c r="C10" s="42">
        <f>TUES!B14</f>
        <v>0</v>
      </c>
      <c r="D10" s="42">
        <f>WED!B14</f>
        <v>0</v>
      </c>
      <c r="E10" s="42">
        <f>THUR!B14</f>
        <v>0</v>
      </c>
      <c r="F10" s="42">
        <f>FRI!B14</f>
        <v>0</v>
      </c>
      <c r="G10" s="42">
        <f>SAT!B14</f>
        <v>0</v>
      </c>
      <c r="H10" s="42">
        <f>SUN!B14</f>
        <v>0</v>
      </c>
      <c r="I10" s="42">
        <f t="shared" si="2"/>
        <v>0</v>
      </c>
    </row>
    <row r="11" spans="1:9" ht="15" customHeight="1" x14ac:dyDescent="0.25">
      <c r="A11" s="6">
        <f>MON!A15</f>
        <v>2</v>
      </c>
      <c r="B11" s="42">
        <f>MON!B15</f>
        <v>0</v>
      </c>
      <c r="C11" s="42">
        <f>TUES!B15</f>
        <v>0</v>
      </c>
      <c r="D11" s="42">
        <f>WED!B15</f>
        <v>0</v>
      </c>
      <c r="E11" s="42">
        <f>THUR!B15</f>
        <v>0</v>
      </c>
      <c r="F11" s="42">
        <f>FRI!B15</f>
        <v>0</v>
      </c>
      <c r="G11" s="42">
        <f>SAT!B15</f>
        <v>0</v>
      </c>
      <c r="H11" s="42">
        <f>SUN!B15</f>
        <v>0</v>
      </c>
      <c r="I11" s="42">
        <f t="shared" si="2"/>
        <v>0</v>
      </c>
    </row>
    <row r="12" spans="1:9" ht="15" customHeight="1" x14ac:dyDescent="0.25">
      <c r="A12" s="6">
        <f>MON!A16</f>
        <v>5</v>
      </c>
      <c r="B12" s="42">
        <f>MON!B16</f>
        <v>0</v>
      </c>
      <c r="C12" s="42">
        <f>TUES!B16</f>
        <v>0</v>
      </c>
      <c r="D12" s="42">
        <f>WED!B16</f>
        <v>0</v>
      </c>
      <c r="E12" s="42">
        <f>THUR!B16</f>
        <v>0</v>
      </c>
      <c r="F12" s="42">
        <f>FRI!B16</f>
        <v>0</v>
      </c>
      <c r="G12" s="42">
        <f>SAT!B16</f>
        <v>0</v>
      </c>
      <c r="H12" s="42">
        <f>SUN!B16</f>
        <v>0</v>
      </c>
      <c r="I12" s="42">
        <f t="shared" si="2"/>
        <v>0</v>
      </c>
    </row>
    <row r="13" spans="1:9" ht="15" customHeight="1" x14ac:dyDescent="0.25">
      <c r="A13" s="6">
        <f>MON!A17</f>
        <v>10</v>
      </c>
      <c r="B13" s="42">
        <f>MON!B17</f>
        <v>0</v>
      </c>
      <c r="C13" s="42">
        <f>TUES!B17</f>
        <v>0</v>
      </c>
      <c r="D13" s="42">
        <f>WED!B17</f>
        <v>0</v>
      </c>
      <c r="E13" s="42">
        <f>THUR!B17</f>
        <v>0</v>
      </c>
      <c r="F13" s="42">
        <f>FRI!B17</f>
        <v>0</v>
      </c>
      <c r="G13" s="42">
        <f>SAT!B17</f>
        <v>0</v>
      </c>
      <c r="H13" s="42">
        <f>SUN!B17</f>
        <v>0</v>
      </c>
      <c r="I13" s="42">
        <f t="shared" si="2"/>
        <v>0</v>
      </c>
    </row>
    <row r="14" spans="1:9" ht="15" customHeight="1" x14ac:dyDescent="0.25">
      <c r="A14" s="6">
        <f>MON!A18</f>
        <v>20</v>
      </c>
      <c r="B14" s="42">
        <f>MON!B18</f>
        <v>0</v>
      </c>
      <c r="C14" s="42">
        <f>TUES!B18</f>
        <v>0</v>
      </c>
      <c r="D14" s="42">
        <f>WED!B18</f>
        <v>0</v>
      </c>
      <c r="E14" s="42">
        <f>THUR!B18</f>
        <v>0</v>
      </c>
      <c r="F14" s="42">
        <f>FRI!B18</f>
        <v>0</v>
      </c>
      <c r="G14" s="42">
        <f>SAT!B18</f>
        <v>0</v>
      </c>
      <c r="H14" s="42">
        <f>SUN!B18</f>
        <v>0</v>
      </c>
      <c r="I14" s="42">
        <f t="shared" si="2"/>
        <v>0</v>
      </c>
    </row>
    <row r="15" spans="1:9" ht="15" customHeight="1" x14ac:dyDescent="0.25">
      <c r="A15" s="18" t="str">
        <f>MON!A19</f>
        <v>Total</v>
      </c>
      <c r="B15" s="44">
        <f>MON!B19</f>
        <v>0</v>
      </c>
      <c r="C15" s="44">
        <f>TUES!B19</f>
        <v>0</v>
      </c>
      <c r="D15" s="44">
        <f>WED!B19</f>
        <v>0</v>
      </c>
      <c r="E15" s="44">
        <f>THUR!B19</f>
        <v>0</v>
      </c>
      <c r="F15" s="44">
        <f>FRI!B19</f>
        <v>0</v>
      </c>
      <c r="G15" s="44">
        <f>SAT!B19</f>
        <v>0</v>
      </c>
      <c r="H15" s="44">
        <f>SUN!B19</f>
        <v>0</v>
      </c>
      <c r="I15" s="47">
        <f>SUM(I4:I14)</f>
        <v>0</v>
      </c>
    </row>
    <row r="16" spans="1:9" ht="15.75" customHeight="1" x14ac:dyDescent="0.25">
      <c r="A16" s="18" t="str">
        <f>IF(I16&gt;10,"THIS SHOULD BE ZERO","")</f>
        <v>THIS SHOULD BE ZERO</v>
      </c>
      <c r="B16" s="45">
        <f>MON!B20</f>
        <v>500</v>
      </c>
      <c r="C16" s="45">
        <f>TUES!B20</f>
        <v>500</v>
      </c>
      <c r="D16" s="45">
        <f>WED!B20</f>
        <v>500</v>
      </c>
      <c r="E16" s="45">
        <f>THUR!B20</f>
        <v>500</v>
      </c>
      <c r="F16" s="45">
        <f>FRI!B20</f>
        <v>500</v>
      </c>
      <c r="G16" s="45">
        <f>SAT!B20</f>
        <v>500</v>
      </c>
      <c r="H16" s="45">
        <f>SUN!B20</f>
        <v>500</v>
      </c>
      <c r="I16" s="45">
        <f>SUM(B16:H16)</f>
        <v>3500</v>
      </c>
    </row>
    <row r="17" spans="1:9" ht="15" customHeight="1" x14ac:dyDescent="0.25">
      <c r="A17" s="2"/>
      <c r="B17" s="22"/>
      <c r="C17" s="22"/>
      <c r="D17" s="22"/>
      <c r="E17" s="22"/>
      <c r="F17" s="22"/>
      <c r="G17" s="22"/>
      <c r="H17" s="22"/>
      <c r="I17" s="22"/>
    </row>
    <row r="18" spans="1:9" ht="15" customHeight="1" x14ac:dyDescent="0.25">
      <c r="A18" s="1" t="str">
        <f>MON!A22</f>
        <v>TAKINGS (No. of coins/notes)</v>
      </c>
      <c r="B18" s="40" t="str">
        <f>MON!B22</f>
        <v>MONDAY</v>
      </c>
      <c r="C18" s="40" t="str">
        <f>TUES!B22</f>
        <v>TUESDAY</v>
      </c>
      <c r="D18" s="40" t="str">
        <f>WED!B22</f>
        <v>WEDNESDAY</v>
      </c>
      <c r="E18" s="40" t="str">
        <f>THUR!B22</f>
        <v>THURSDAY</v>
      </c>
      <c r="F18" s="40" t="str">
        <f>FRI!B22</f>
        <v>FRIDAY</v>
      </c>
      <c r="G18" s="40" t="str">
        <f>SAT!B22</f>
        <v>SATURDAY</v>
      </c>
      <c r="H18" s="40" t="str">
        <f>SUN!B22</f>
        <v>SUNDAY</v>
      </c>
      <c r="I18" s="40" t="str">
        <f>I3</f>
        <v>TOTAL</v>
      </c>
    </row>
    <row r="19" spans="1:9" ht="15" customHeight="1" x14ac:dyDescent="0.25">
      <c r="A19" s="6">
        <f>MON!A23</f>
        <v>0.01</v>
      </c>
      <c r="B19" s="42">
        <f>MON!B23</f>
        <v>0</v>
      </c>
      <c r="C19" s="41">
        <f>TUES!B23</f>
        <v>0</v>
      </c>
      <c r="D19" s="41">
        <f>WED!B23</f>
        <v>0</v>
      </c>
      <c r="E19" s="41">
        <f>THUR!B23</f>
        <v>0</v>
      </c>
      <c r="F19" s="41">
        <f>FRI!B23</f>
        <v>0</v>
      </c>
      <c r="G19" s="41">
        <f>SAT!B23</f>
        <v>0</v>
      </c>
      <c r="H19" s="41">
        <f>SUN!B23</f>
        <v>0</v>
      </c>
      <c r="I19" s="41">
        <f t="shared" ref="I19" si="3">SUM(B19:H19)</f>
        <v>0</v>
      </c>
    </row>
    <row r="20" spans="1:9" ht="15" customHeight="1" x14ac:dyDescent="0.25">
      <c r="A20" s="6">
        <f>MON!A24</f>
        <v>0.02</v>
      </c>
      <c r="B20" s="42">
        <f>MON!B24</f>
        <v>0</v>
      </c>
      <c r="C20" s="51">
        <f>TUES!B24</f>
        <v>0</v>
      </c>
      <c r="D20" s="51">
        <f>WED!B24</f>
        <v>0</v>
      </c>
      <c r="E20" s="51">
        <f>THUR!B24</f>
        <v>0</v>
      </c>
      <c r="F20" s="51">
        <f>FRI!B24</f>
        <v>0</v>
      </c>
      <c r="G20" s="51">
        <f>SAT!B24</f>
        <v>0</v>
      </c>
      <c r="H20" s="51">
        <f>SUN!B24</f>
        <v>0</v>
      </c>
      <c r="I20" s="51">
        <f t="shared" ref="I20:I29" si="4">SUM(B20:H20)</f>
        <v>0</v>
      </c>
    </row>
    <row r="21" spans="1:9" ht="15" customHeight="1" x14ac:dyDescent="0.25">
      <c r="A21" s="6">
        <f>MON!A25</f>
        <v>0.05</v>
      </c>
      <c r="B21" s="42">
        <f>MON!B25</f>
        <v>0</v>
      </c>
      <c r="C21" s="42">
        <f>TUES!B25</f>
        <v>0</v>
      </c>
      <c r="D21" s="42">
        <f>WED!B25</f>
        <v>0</v>
      </c>
      <c r="E21" s="42">
        <f>THUR!B25</f>
        <v>0</v>
      </c>
      <c r="F21" s="42">
        <f>FRI!B25</f>
        <v>0</v>
      </c>
      <c r="G21" s="42">
        <f>SAT!B25</f>
        <v>0</v>
      </c>
      <c r="H21" s="42">
        <f>SUN!B25</f>
        <v>0</v>
      </c>
      <c r="I21" s="42">
        <f t="shared" si="4"/>
        <v>0</v>
      </c>
    </row>
    <row r="22" spans="1:9" ht="15" customHeight="1" x14ac:dyDescent="0.25">
      <c r="A22" s="14">
        <f>MON!A26</f>
        <v>0.1</v>
      </c>
      <c r="B22" s="42">
        <f>MON!B26</f>
        <v>0</v>
      </c>
      <c r="C22" s="42">
        <f>TUES!B26</f>
        <v>0</v>
      </c>
      <c r="D22" s="42">
        <f>WED!B26</f>
        <v>0</v>
      </c>
      <c r="E22" s="42">
        <f>THUR!B26</f>
        <v>0</v>
      </c>
      <c r="F22" s="42">
        <f>FRI!B26</f>
        <v>0</v>
      </c>
      <c r="G22" s="42">
        <f>SAT!B26</f>
        <v>0</v>
      </c>
      <c r="H22" s="42">
        <f>SUN!B26</f>
        <v>0</v>
      </c>
      <c r="I22" s="42">
        <f t="shared" si="4"/>
        <v>0</v>
      </c>
    </row>
    <row r="23" spans="1:9" ht="15" customHeight="1" x14ac:dyDescent="0.25">
      <c r="A23" s="6">
        <f>MON!A27</f>
        <v>0.2</v>
      </c>
      <c r="B23" s="42">
        <f>MON!B27</f>
        <v>0</v>
      </c>
      <c r="C23" s="42">
        <f>TUES!B27</f>
        <v>0</v>
      </c>
      <c r="D23" s="42">
        <f>WED!B27</f>
        <v>0</v>
      </c>
      <c r="E23" s="42">
        <f>THUR!B27</f>
        <v>0</v>
      </c>
      <c r="F23" s="42">
        <f>FRI!B27</f>
        <v>0</v>
      </c>
      <c r="G23" s="42">
        <f>SAT!B27</f>
        <v>0</v>
      </c>
      <c r="H23" s="42">
        <f>SUN!B27</f>
        <v>0</v>
      </c>
      <c r="I23" s="42">
        <f t="shared" si="4"/>
        <v>0</v>
      </c>
    </row>
    <row r="24" spans="1:9" ht="15" customHeight="1" x14ac:dyDescent="0.25">
      <c r="A24" s="6">
        <f>MON!A28</f>
        <v>0.5</v>
      </c>
      <c r="B24" s="42">
        <f>MON!B28</f>
        <v>0</v>
      </c>
      <c r="C24" s="42">
        <f>TUES!B28</f>
        <v>0</v>
      </c>
      <c r="D24" s="42">
        <f>WED!B28</f>
        <v>0</v>
      </c>
      <c r="E24" s="42">
        <f>THUR!B28</f>
        <v>0</v>
      </c>
      <c r="F24" s="42">
        <f>FRI!B28</f>
        <v>0</v>
      </c>
      <c r="G24" s="42">
        <f>SAT!B28</f>
        <v>0</v>
      </c>
      <c r="H24" s="42">
        <f>SUN!B28</f>
        <v>0</v>
      </c>
      <c r="I24" s="42">
        <f t="shared" si="4"/>
        <v>0</v>
      </c>
    </row>
    <row r="25" spans="1:9" ht="15" customHeight="1" x14ac:dyDescent="0.25">
      <c r="A25" s="6">
        <f>MON!A29</f>
        <v>1</v>
      </c>
      <c r="B25" s="42">
        <f>MON!B29</f>
        <v>0</v>
      </c>
      <c r="C25" s="42">
        <f>TUES!B29</f>
        <v>0</v>
      </c>
      <c r="D25" s="42">
        <f>WED!B29</f>
        <v>0</v>
      </c>
      <c r="E25" s="42">
        <f>THUR!B29</f>
        <v>0</v>
      </c>
      <c r="F25" s="42">
        <f>FRI!B29</f>
        <v>0</v>
      </c>
      <c r="G25" s="42">
        <f>SAT!B29</f>
        <v>0</v>
      </c>
      <c r="H25" s="42">
        <f>SUN!B29</f>
        <v>0</v>
      </c>
      <c r="I25" s="42">
        <f t="shared" si="4"/>
        <v>0</v>
      </c>
    </row>
    <row r="26" spans="1:9" ht="15" customHeight="1" x14ac:dyDescent="0.25">
      <c r="A26" s="6">
        <f>MON!A30</f>
        <v>2</v>
      </c>
      <c r="B26" s="42">
        <f>MON!B30</f>
        <v>0</v>
      </c>
      <c r="C26" s="42">
        <f>TUES!B30</f>
        <v>0</v>
      </c>
      <c r="D26" s="42">
        <f>WED!B30</f>
        <v>0</v>
      </c>
      <c r="E26" s="42">
        <f>THUR!B30</f>
        <v>0</v>
      </c>
      <c r="F26" s="42">
        <f>FRI!B30</f>
        <v>0</v>
      </c>
      <c r="G26" s="42">
        <f>SAT!B30</f>
        <v>0</v>
      </c>
      <c r="H26" s="42">
        <f>SUN!B30</f>
        <v>0</v>
      </c>
      <c r="I26" s="42">
        <f t="shared" si="4"/>
        <v>0</v>
      </c>
    </row>
    <row r="27" spans="1:9" ht="15" customHeight="1" x14ac:dyDescent="0.25">
      <c r="A27" s="6">
        <f>MON!A31</f>
        <v>5</v>
      </c>
      <c r="B27" s="42">
        <f>MON!B31</f>
        <v>0</v>
      </c>
      <c r="C27" s="42">
        <f>TUES!B31</f>
        <v>0</v>
      </c>
      <c r="D27" s="42">
        <f>WED!B31</f>
        <v>0</v>
      </c>
      <c r="E27" s="42">
        <f>THUR!B31</f>
        <v>0</v>
      </c>
      <c r="F27" s="42">
        <f>FRI!B31</f>
        <v>0</v>
      </c>
      <c r="G27" s="42">
        <f>SAT!B31</f>
        <v>0</v>
      </c>
      <c r="H27" s="42">
        <f>SUN!B31</f>
        <v>0</v>
      </c>
      <c r="I27" s="42">
        <f t="shared" si="4"/>
        <v>0</v>
      </c>
    </row>
    <row r="28" spans="1:9" ht="15" customHeight="1" x14ac:dyDescent="0.25">
      <c r="A28" s="6">
        <f>MON!A32</f>
        <v>10</v>
      </c>
      <c r="B28" s="42">
        <f>MON!B32</f>
        <v>0</v>
      </c>
      <c r="C28" s="42">
        <f>TUES!B32</f>
        <v>0</v>
      </c>
      <c r="D28" s="42">
        <f>WED!B32</f>
        <v>0</v>
      </c>
      <c r="E28" s="42">
        <f>THUR!B32</f>
        <v>0</v>
      </c>
      <c r="F28" s="42">
        <f>FRI!B32</f>
        <v>0</v>
      </c>
      <c r="G28" s="42">
        <f>SAT!B32</f>
        <v>0</v>
      </c>
      <c r="H28" s="42">
        <f>SUN!B32</f>
        <v>0</v>
      </c>
      <c r="I28" s="42">
        <f t="shared" si="4"/>
        <v>0</v>
      </c>
    </row>
    <row r="29" spans="1:9" ht="15" customHeight="1" x14ac:dyDescent="0.25">
      <c r="A29" s="6">
        <f>MON!A33</f>
        <v>20</v>
      </c>
      <c r="B29" s="43">
        <f>MON!B33</f>
        <v>0</v>
      </c>
      <c r="C29" s="43">
        <f>TUES!B33</f>
        <v>0</v>
      </c>
      <c r="D29" s="43">
        <f>WED!B33</f>
        <v>0</v>
      </c>
      <c r="E29" s="43">
        <f>THUR!B33</f>
        <v>0</v>
      </c>
      <c r="F29" s="43">
        <f>FRI!B33</f>
        <v>0</v>
      </c>
      <c r="G29" s="43">
        <f>SAT!B33</f>
        <v>0</v>
      </c>
      <c r="H29" s="43">
        <f>SUN!B33</f>
        <v>0</v>
      </c>
      <c r="I29" s="43">
        <f t="shared" si="4"/>
        <v>0</v>
      </c>
    </row>
    <row r="30" spans="1:9" ht="15" customHeight="1" x14ac:dyDescent="0.25">
      <c r="A30" s="18" t="str">
        <f>MON!A34</f>
        <v>Total</v>
      </c>
      <c r="B30" s="44">
        <f>MON!B34</f>
        <v>0</v>
      </c>
      <c r="C30" s="44">
        <f>TUES!B34</f>
        <v>0</v>
      </c>
      <c r="D30" s="44">
        <f>WED!B34</f>
        <v>0</v>
      </c>
      <c r="E30" s="44">
        <f>THUR!B34</f>
        <v>0</v>
      </c>
      <c r="F30" s="44">
        <f>FRI!B34</f>
        <v>0</v>
      </c>
      <c r="G30" s="44">
        <f>SAT!B34</f>
        <v>0</v>
      </c>
      <c r="H30" s="44">
        <f>SUN!B34</f>
        <v>0</v>
      </c>
      <c r="I30" s="47">
        <f>SUM(I19:I29)</f>
        <v>0</v>
      </c>
    </row>
    <row r="31" spans="1:9" ht="15" customHeight="1" x14ac:dyDescent="0.25">
      <c r="A31" s="2"/>
      <c r="B31" s="22"/>
      <c r="C31" s="22"/>
      <c r="D31" s="22"/>
      <c r="E31" s="22"/>
      <c r="F31" s="22"/>
      <c r="G31" s="22"/>
      <c r="H31" s="22"/>
      <c r="I31" s="22"/>
    </row>
    <row r="32" spans="1:9" ht="15" customHeight="1" x14ac:dyDescent="0.25">
      <c r="A32" s="1" t="str">
        <f>MON!A36</f>
        <v>SAFE (No. of coins/notes)</v>
      </c>
      <c r="B32" s="40" t="str">
        <f>MON!B36</f>
        <v>MONDAY</v>
      </c>
      <c r="C32" s="40" t="str">
        <f>TUES!B36</f>
        <v>TUESDAY</v>
      </c>
      <c r="D32" s="40" t="str">
        <f>WED!B36</f>
        <v>WEDNESDAY</v>
      </c>
      <c r="E32" s="40" t="str">
        <f>THUR!B36</f>
        <v>THURSDAY</v>
      </c>
      <c r="F32" s="40" t="str">
        <f>FRI!B36</f>
        <v>FRIDAY</v>
      </c>
      <c r="G32" s="40" t="str">
        <f>SAT!B36</f>
        <v>SATURDAY</v>
      </c>
      <c r="H32" s="40" t="str">
        <f>SUN!B36</f>
        <v>SUNDAY</v>
      </c>
      <c r="I32" s="40" t="str">
        <f>I3</f>
        <v>TOTAL</v>
      </c>
    </row>
    <row r="33" spans="1:9" ht="15" customHeight="1" x14ac:dyDescent="0.25">
      <c r="A33" s="6">
        <f>MON!A37</f>
        <v>0.01</v>
      </c>
      <c r="B33" s="42">
        <f>MON!B37</f>
        <v>0</v>
      </c>
      <c r="C33" s="41">
        <f>TUES!B37</f>
        <v>0</v>
      </c>
      <c r="D33" s="41">
        <f>WED!B37</f>
        <v>0</v>
      </c>
      <c r="E33" s="41">
        <f>THUR!B37</f>
        <v>0</v>
      </c>
      <c r="F33" s="41">
        <f>FRI!B37</f>
        <v>0</v>
      </c>
      <c r="G33" s="41">
        <f>SAT!B37</f>
        <v>0</v>
      </c>
      <c r="H33" s="41">
        <f>SUN!B37</f>
        <v>0</v>
      </c>
      <c r="I33" s="41">
        <f t="shared" ref="I33" si="5">SUM(B33:H33)</f>
        <v>0</v>
      </c>
    </row>
    <row r="34" spans="1:9" ht="15" customHeight="1" x14ac:dyDescent="0.25">
      <c r="A34" s="6">
        <f>MON!A38</f>
        <v>0.02</v>
      </c>
      <c r="B34" s="42">
        <f>MON!B38</f>
        <v>0</v>
      </c>
      <c r="C34" s="51">
        <f>TUES!B38</f>
        <v>0</v>
      </c>
      <c r="D34" s="51">
        <f>WED!B38</f>
        <v>0</v>
      </c>
      <c r="E34" s="51">
        <f>THUR!B38</f>
        <v>0</v>
      </c>
      <c r="F34" s="51">
        <f>FRI!B38</f>
        <v>0</v>
      </c>
      <c r="G34" s="51">
        <f>SAT!B38</f>
        <v>0</v>
      </c>
      <c r="H34" s="51">
        <f>SUN!B38</f>
        <v>0</v>
      </c>
      <c r="I34" s="51">
        <f t="shared" ref="I34:I42" si="6">SUM(B34:H34)</f>
        <v>0</v>
      </c>
    </row>
    <row r="35" spans="1:9" ht="15" customHeight="1" x14ac:dyDescent="0.25">
      <c r="A35" s="6">
        <f>MON!A39</f>
        <v>0.05</v>
      </c>
      <c r="B35" s="42">
        <f>MON!B39</f>
        <v>0</v>
      </c>
      <c r="C35" s="42">
        <f>TUES!B39</f>
        <v>0</v>
      </c>
      <c r="D35" s="42">
        <f>WED!B39</f>
        <v>0</v>
      </c>
      <c r="E35" s="42">
        <f>THUR!B39</f>
        <v>0</v>
      </c>
      <c r="F35" s="42">
        <f>FRI!B39</f>
        <v>0</v>
      </c>
      <c r="G35" s="42">
        <f>SAT!B39</f>
        <v>0</v>
      </c>
      <c r="H35" s="42">
        <f>SUN!B39</f>
        <v>0</v>
      </c>
      <c r="I35" s="42">
        <f t="shared" si="6"/>
        <v>0</v>
      </c>
    </row>
    <row r="36" spans="1:9" ht="15" customHeight="1" x14ac:dyDescent="0.25">
      <c r="A36" s="14">
        <f>MON!A40</f>
        <v>0.1</v>
      </c>
      <c r="B36" s="42">
        <f>MON!B40</f>
        <v>0</v>
      </c>
      <c r="C36" s="42">
        <f>TUES!B40</f>
        <v>0</v>
      </c>
      <c r="D36" s="42">
        <f>WED!B40</f>
        <v>0</v>
      </c>
      <c r="E36" s="42">
        <f>THUR!B40</f>
        <v>0</v>
      </c>
      <c r="F36" s="42">
        <f>FRI!B40</f>
        <v>0</v>
      </c>
      <c r="G36" s="42">
        <f>SAT!B40</f>
        <v>0</v>
      </c>
      <c r="H36" s="42">
        <f>SUN!B40</f>
        <v>0</v>
      </c>
      <c r="I36" s="42">
        <f t="shared" si="6"/>
        <v>0</v>
      </c>
    </row>
    <row r="37" spans="1:9" ht="15" customHeight="1" x14ac:dyDescent="0.25">
      <c r="A37" s="6">
        <f>MON!A41</f>
        <v>0.2</v>
      </c>
      <c r="B37" s="42">
        <f>MON!B41</f>
        <v>0</v>
      </c>
      <c r="C37" s="42">
        <f>TUES!B41</f>
        <v>0</v>
      </c>
      <c r="D37" s="42">
        <f>WED!B41</f>
        <v>0</v>
      </c>
      <c r="E37" s="42">
        <f>THUR!B41</f>
        <v>0</v>
      </c>
      <c r="F37" s="42">
        <f>FRI!B41</f>
        <v>0</v>
      </c>
      <c r="G37" s="42">
        <f>SAT!B41</f>
        <v>0</v>
      </c>
      <c r="H37" s="42">
        <f>SUN!B41</f>
        <v>0</v>
      </c>
      <c r="I37" s="42">
        <f t="shared" si="6"/>
        <v>0</v>
      </c>
    </row>
    <row r="38" spans="1:9" ht="15" customHeight="1" x14ac:dyDescent="0.25">
      <c r="A38" s="6">
        <f>MON!A42</f>
        <v>0.5</v>
      </c>
      <c r="B38" s="42">
        <f>MON!B42</f>
        <v>0</v>
      </c>
      <c r="C38" s="42">
        <f>TUES!B42</f>
        <v>0</v>
      </c>
      <c r="D38" s="42">
        <f>WED!B42</f>
        <v>0</v>
      </c>
      <c r="E38" s="42">
        <f>THUR!B42</f>
        <v>0</v>
      </c>
      <c r="F38" s="42">
        <f>FRI!B42</f>
        <v>0</v>
      </c>
      <c r="G38" s="42">
        <f>SAT!B42</f>
        <v>0</v>
      </c>
      <c r="H38" s="42">
        <f>SUN!B42</f>
        <v>0</v>
      </c>
      <c r="I38" s="42">
        <f t="shared" si="6"/>
        <v>0</v>
      </c>
    </row>
    <row r="39" spans="1:9" ht="15" customHeight="1" x14ac:dyDescent="0.25">
      <c r="A39" s="6">
        <f>MON!A43</f>
        <v>1</v>
      </c>
      <c r="B39" s="42">
        <f>MON!B43</f>
        <v>0</v>
      </c>
      <c r="C39" s="42">
        <f>TUES!B43</f>
        <v>0</v>
      </c>
      <c r="D39" s="42">
        <f>WED!B43</f>
        <v>0</v>
      </c>
      <c r="E39" s="42">
        <f>THUR!B43</f>
        <v>0</v>
      </c>
      <c r="F39" s="42">
        <f>FRI!B43</f>
        <v>0</v>
      </c>
      <c r="G39" s="42">
        <f>SAT!B43</f>
        <v>0</v>
      </c>
      <c r="H39" s="42">
        <f>SUN!B43</f>
        <v>0</v>
      </c>
      <c r="I39" s="42">
        <f t="shared" si="6"/>
        <v>0</v>
      </c>
    </row>
    <row r="40" spans="1:9" ht="15" customHeight="1" x14ac:dyDescent="0.25">
      <c r="A40" s="6">
        <f>MON!A44</f>
        <v>2</v>
      </c>
      <c r="B40" s="42">
        <f>MON!B44</f>
        <v>0</v>
      </c>
      <c r="C40" s="42">
        <f>TUES!B44</f>
        <v>0</v>
      </c>
      <c r="D40" s="42">
        <f>WED!B44</f>
        <v>0</v>
      </c>
      <c r="E40" s="42">
        <f>THUR!B44</f>
        <v>0</v>
      </c>
      <c r="F40" s="42">
        <f>FRI!B44</f>
        <v>0</v>
      </c>
      <c r="G40" s="42">
        <f>SAT!B44</f>
        <v>0</v>
      </c>
      <c r="H40" s="42">
        <f>SUN!B44</f>
        <v>0</v>
      </c>
      <c r="I40" s="42">
        <f t="shared" si="6"/>
        <v>0</v>
      </c>
    </row>
    <row r="41" spans="1:9" ht="15" customHeight="1" x14ac:dyDescent="0.25">
      <c r="A41" s="6">
        <f>MON!A45</f>
        <v>5</v>
      </c>
      <c r="B41" s="42">
        <f>MON!B45</f>
        <v>0</v>
      </c>
      <c r="C41" s="42">
        <f>TUES!B45</f>
        <v>0</v>
      </c>
      <c r="D41" s="42">
        <f>WED!B45</f>
        <v>0</v>
      </c>
      <c r="E41" s="42">
        <f>THUR!B45</f>
        <v>0</v>
      </c>
      <c r="F41" s="42">
        <f>FRI!B45</f>
        <v>0</v>
      </c>
      <c r="G41" s="42">
        <f>SAT!B45</f>
        <v>0</v>
      </c>
      <c r="H41" s="42">
        <f>SUN!B45</f>
        <v>0</v>
      </c>
      <c r="I41" s="42">
        <f t="shared" si="6"/>
        <v>0</v>
      </c>
    </row>
    <row r="42" spans="1:9" ht="15" customHeight="1" x14ac:dyDescent="0.25">
      <c r="A42" s="6">
        <f>MON!A46</f>
        <v>10</v>
      </c>
      <c r="B42" s="42">
        <f>MON!B46</f>
        <v>0</v>
      </c>
      <c r="C42" s="42">
        <f>TUES!B46</f>
        <v>0</v>
      </c>
      <c r="D42" s="42">
        <f>WED!B46</f>
        <v>0</v>
      </c>
      <c r="E42" s="42">
        <f>THUR!B46</f>
        <v>0</v>
      </c>
      <c r="F42" s="42">
        <f>FRI!B46</f>
        <v>0</v>
      </c>
      <c r="G42" s="42">
        <f>SAT!B46</f>
        <v>0</v>
      </c>
      <c r="H42" s="42">
        <f>SUN!B46</f>
        <v>0</v>
      </c>
      <c r="I42" s="42">
        <f t="shared" si="6"/>
        <v>0</v>
      </c>
    </row>
    <row r="43" spans="1:9" ht="15" customHeight="1" x14ac:dyDescent="0.25">
      <c r="A43" s="6">
        <f>MON!A47</f>
        <v>20</v>
      </c>
      <c r="B43" s="43">
        <f>MON!B47</f>
        <v>0</v>
      </c>
      <c r="C43" s="43">
        <f>TUES!B47</f>
        <v>0</v>
      </c>
      <c r="D43" s="43">
        <f>WED!B47</f>
        <v>0</v>
      </c>
      <c r="E43" s="43">
        <f>THUR!B47</f>
        <v>0</v>
      </c>
      <c r="F43" s="43">
        <f>FRI!B47</f>
        <v>0</v>
      </c>
      <c r="G43" s="43">
        <f>SAT!B47</f>
        <v>0</v>
      </c>
      <c r="H43" s="43">
        <f>SUN!B47</f>
        <v>0</v>
      </c>
      <c r="I43" s="43">
        <f t="shared" ref="I43" si="7">SUM(B43:H43)</f>
        <v>0</v>
      </c>
    </row>
    <row r="44" spans="1:9" ht="15" customHeight="1" x14ac:dyDescent="0.25">
      <c r="A44" s="18" t="str">
        <f>MON!A48</f>
        <v>Total</v>
      </c>
      <c r="B44" s="44">
        <f>MON!B48</f>
        <v>0</v>
      </c>
      <c r="C44" s="44">
        <f>TUES!B48</f>
        <v>0</v>
      </c>
      <c r="D44" s="44">
        <f>WED!B48</f>
        <v>0</v>
      </c>
      <c r="E44" s="44">
        <f>THUR!B48</f>
        <v>0</v>
      </c>
      <c r="F44" s="44">
        <f>FRI!B48</f>
        <v>0</v>
      </c>
      <c r="G44" s="44">
        <f>SAT!B48</f>
        <v>0</v>
      </c>
      <c r="H44" s="44">
        <f>SUN!B48</f>
        <v>0</v>
      </c>
      <c r="I44" s="47">
        <f>SUM(I33:I43)</f>
        <v>0</v>
      </c>
    </row>
    <row r="45" spans="1:9" ht="15" customHeight="1" x14ac:dyDescent="0.25">
      <c r="A45" s="2"/>
      <c r="B45" s="22"/>
      <c r="C45" s="22"/>
      <c r="D45" s="22"/>
      <c r="E45" s="22"/>
      <c r="F45" s="22"/>
      <c r="G45" s="22"/>
      <c r="H45" s="22"/>
      <c r="I45" s="22"/>
    </row>
    <row r="46" spans="1:9" ht="15" customHeight="1" x14ac:dyDescent="0.25">
      <c r="A46" s="1" t="str">
        <f>MON!A50</f>
        <v>RECEIPTS Amount (Dockets Attached)</v>
      </c>
      <c r="B46" s="40" t="str">
        <f>MON!B50</f>
        <v>MONDAY</v>
      </c>
      <c r="C46" s="40" t="str">
        <f>TUES!B50</f>
        <v>TUESDAY</v>
      </c>
      <c r="D46" s="40" t="str">
        <f>WED!B50</f>
        <v>WEDNESDAY</v>
      </c>
      <c r="E46" s="40" t="str">
        <f>THUR!B50</f>
        <v>THURSDAY</v>
      </c>
      <c r="F46" s="40" t="str">
        <f>FRI!B50</f>
        <v>FRIDAY</v>
      </c>
      <c r="G46" s="40" t="str">
        <f>SAT!B50</f>
        <v>SATURDAY</v>
      </c>
      <c r="H46" s="40" t="str">
        <f>SUN!B50</f>
        <v>SUNDAY</v>
      </c>
      <c r="I46" s="40" t="str">
        <f>I3</f>
        <v>TOTAL</v>
      </c>
    </row>
    <row r="47" spans="1:9" ht="15" customHeight="1" x14ac:dyDescent="0.25">
      <c r="A47" s="18" t="str">
        <f>MON!A51</f>
        <v>Receipt 1</v>
      </c>
      <c r="B47" s="42">
        <f>MON!B51</f>
        <v>0</v>
      </c>
      <c r="C47" s="41">
        <f>TUES!B51</f>
        <v>0</v>
      </c>
      <c r="D47" s="41">
        <f>WED!B51</f>
        <v>0</v>
      </c>
      <c r="E47" s="41">
        <f>THUR!B51</f>
        <v>0</v>
      </c>
      <c r="F47" s="41">
        <f>FRI!B51</f>
        <v>0</v>
      </c>
      <c r="G47" s="41">
        <f>SAT!B51</f>
        <v>0</v>
      </c>
      <c r="H47" s="41">
        <f>SUN!B51</f>
        <v>0</v>
      </c>
      <c r="I47" s="41">
        <f t="shared" ref="I47" si="8">SUM(B47:H47)</f>
        <v>0</v>
      </c>
    </row>
    <row r="48" spans="1:9" ht="15" customHeight="1" x14ac:dyDescent="0.25">
      <c r="A48" s="18" t="str">
        <f>MON!A52</f>
        <v>Receipt 2</v>
      </c>
      <c r="B48" s="42">
        <f>MON!B52</f>
        <v>0</v>
      </c>
      <c r="C48" s="42">
        <f>TUES!B52</f>
        <v>0</v>
      </c>
      <c r="D48" s="42">
        <f>WED!B52</f>
        <v>0</v>
      </c>
      <c r="E48" s="42">
        <f>THUR!B52</f>
        <v>0</v>
      </c>
      <c r="F48" s="42">
        <f>FRI!B52</f>
        <v>0</v>
      </c>
      <c r="G48" s="42">
        <f>SAT!B52</f>
        <v>0</v>
      </c>
      <c r="H48" s="42">
        <f>SUN!B52</f>
        <v>0</v>
      </c>
      <c r="I48" s="42">
        <f t="shared" ref="I48:I54" si="9">SUM(B48:H48)</f>
        <v>0</v>
      </c>
    </row>
    <row r="49" spans="1:9" ht="15" customHeight="1" x14ac:dyDescent="0.25">
      <c r="A49" s="18" t="str">
        <f>MON!A53</f>
        <v>Receipt 3</v>
      </c>
      <c r="B49" s="42">
        <f>MON!B53</f>
        <v>0</v>
      </c>
      <c r="C49" s="42">
        <f>TUES!B53</f>
        <v>0</v>
      </c>
      <c r="D49" s="42">
        <f>WED!B53</f>
        <v>0</v>
      </c>
      <c r="E49" s="42">
        <f>THUR!B53</f>
        <v>0</v>
      </c>
      <c r="F49" s="42">
        <f>FRI!B53</f>
        <v>0</v>
      </c>
      <c r="G49" s="42">
        <f>SAT!B53</f>
        <v>0</v>
      </c>
      <c r="H49" s="42">
        <f>SUN!B53</f>
        <v>0</v>
      </c>
      <c r="I49" s="42">
        <f t="shared" si="9"/>
        <v>0</v>
      </c>
    </row>
    <row r="50" spans="1:9" ht="15" customHeight="1" x14ac:dyDescent="0.25">
      <c r="A50" s="18" t="str">
        <f>MON!A54</f>
        <v>Receipt 4</v>
      </c>
      <c r="B50" s="42">
        <f>MON!B54</f>
        <v>0</v>
      </c>
      <c r="C50" s="42">
        <f>TUES!B54</f>
        <v>0</v>
      </c>
      <c r="D50" s="42">
        <f>WED!B54</f>
        <v>0</v>
      </c>
      <c r="E50" s="42">
        <f>THUR!B54</f>
        <v>0</v>
      </c>
      <c r="F50" s="42">
        <f>FRI!B54</f>
        <v>0</v>
      </c>
      <c r="G50" s="42">
        <f>SAT!B54</f>
        <v>0</v>
      </c>
      <c r="H50" s="42">
        <f>SUN!B54</f>
        <v>0</v>
      </c>
      <c r="I50" s="42">
        <f t="shared" si="9"/>
        <v>0</v>
      </c>
    </row>
    <row r="51" spans="1:9" ht="15" customHeight="1" x14ac:dyDescent="0.25">
      <c r="A51" s="18" t="str">
        <f>MON!A55</f>
        <v>Receipt 5</v>
      </c>
      <c r="B51" s="42">
        <f>MON!B55</f>
        <v>0</v>
      </c>
      <c r="C51" s="42">
        <f>TUES!B55</f>
        <v>0</v>
      </c>
      <c r="D51" s="42">
        <f>WED!B55</f>
        <v>0</v>
      </c>
      <c r="E51" s="42">
        <f>THUR!B55</f>
        <v>0</v>
      </c>
      <c r="F51" s="42">
        <f>FRI!B55</f>
        <v>0</v>
      </c>
      <c r="G51" s="42">
        <f>SAT!B55</f>
        <v>0</v>
      </c>
      <c r="H51" s="42">
        <f>SUN!B55</f>
        <v>0</v>
      </c>
      <c r="I51" s="42">
        <f t="shared" si="9"/>
        <v>0</v>
      </c>
    </row>
    <row r="52" spans="1:9" ht="15" customHeight="1" x14ac:dyDescent="0.25">
      <c r="A52" s="18" t="str">
        <f>MON!A56</f>
        <v>Receipt 6</v>
      </c>
      <c r="B52" s="42">
        <f>MON!B56</f>
        <v>0</v>
      </c>
      <c r="C52" s="42">
        <f>TUES!B56</f>
        <v>0</v>
      </c>
      <c r="D52" s="42">
        <f>WED!B56</f>
        <v>0</v>
      </c>
      <c r="E52" s="42">
        <f>THUR!B56</f>
        <v>0</v>
      </c>
      <c r="F52" s="42">
        <f>FRI!B56</f>
        <v>0</v>
      </c>
      <c r="G52" s="42">
        <f>SAT!B56</f>
        <v>0</v>
      </c>
      <c r="H52" s="42">
        <f>SUN!B56</f>
        <v>0</v>
      </c>
      <c r="I52" s="42">
        <f t="shared" si="9"/>
        <v>0</v>
      </c>
    </row>
    <row r="53" spans="1:9" ht="15" customHeight="1" x14ac:dyDescent="0.25">
      <c r="A53" s="18" t="str">
        <f>MON!A57</f>
        <v>Receipt 7</v>
      </c>
      <c r="B53" s="42">
        <f>MON!B57</f>
        <v>0</v>
      </c>
      <c r="C53" s="42">
        <f>TUES!B57</f>
        <v>0</v>
      </c>
      <c r="D53" s="42">
        <f>WED!B57</f>
        <v>0</v>
      </c>
      <c r="E53" s="42">
        <f>THUR!B57</f>
        <v>0</v>
      </c>
      <c r="F53" s="42">
        <f>FRI!B57</f>
        <v>0</v>
      </c>
      <c r="G53" s="42">
        <f>SAT!B57</f>
        <v>0</v>
      </c>
      <c r="H53" s="42">
        <f>SUN!B57</f>
        <v>0</v>
      </c>
      <c r="I53" s="42">
        <f t="shared" si="9"/>
        <v>0</v>
      </c>
    </row>
    <row r="54" spans="1:9" ht="15" customHeight="1" x14ac:dyDescent="0.25">
      <c r="A54" s="18" t="str">
        <f>MON!A58</f>
        <v>Receipt 8</v>
      </c>
      <c r="B54" s="43">
        <f>MON!B58</f>
        <v>0</v>
      </c>
      <c r="C54" s="43">
        <f>TUES!B58</f>
        <v>0</v>
      </c>
      <c r="D54" s="43">
        <f>WED!B58</f>
        <v>0</v>
      </c>
      <c r="E54" s="43">
        <f>THUR!B58</f>
        <v>0</v>
      </c>
      <c r="F54" s="43">
        <f>FRI!B58</f>
        <v>0</v>
      </c>
      <c r="G54" s="43">
        <f>SAT!B58</f>
        <v>0</v>
      </c>
      <c r="H54" s="43">
        <f>SUN!B58</f>
        <v>0</v>
      </c>
      <c r="I54" s="43">
        <f t="shared" si="9"/>
        <v>0</v>
      </c>
    </row>
    <row r="55" spans="1:9" ht="15" customHeight="1" x14ac:dyDescent="0.25">
      <c r="A55" s="18" t="str">
        <f>MON!A59</f>
        <v>Total</v>
      </c>
      <c r="B55" s="44">
        <f>MON!B59</f>
        <v>0</v>
      </c>
      <c r="C55" s="44">
        <f>TUES!B59</f>
        <v>0</v>
      </c>
      <c r="D55" s="44">
        <f>WED!B59</f>
        <v>0</v>
      </c>
      <c r="E55" s="44">
        <f>THUR!B59</f>
        <v>0</v>
      </c>
      <c r="F55" s="44">
        <f>FRI!B59</f>
        <v>0</v>
      </c>
      <c r="G55" s="44">
        <f>SAT!B59</f>
        <v>0</v>
      </c>
      <c r="H55" s="44">
        <f>SUN!B59</f>
        <v>0</v>
      </c>
      <c r="I55" s="47">
        <f>SUM(I47:I54)</f>
        <v>0</v>
      </c>
    </row>
    <row r="56" spans="1:9" ht="15" customHeight="1" x14ac:dyDescent="0.25">
      <c r="A56" s="2"/>
      <c r="B56" s="23"/>
      <c r="C56" s="23"/>
      <c r="D56" s="23"/>
      <c r="E56" s="23"/>
      <c r="F56" s="23"/>
      <c r="G56" s="23"/>
      <c r="H56" s="23"/>
      <c r="I56" s="23"/>
    </row>
    <row r="57" spans="1:9" ht="15" customHeight="1" x14ac:dyDescent="0.25">
      <c r="A57" s="1" t="str">
        <f>MON!A61</f>
        <v>ACCOUNTS</v>
      </c>
      <c r="B57" s="40" t="str">
        <f>MON!B61</f>
        <v>MONDAY</v>
      </c>
      <c r="C57" s="40" t="str">
        <f>TUES!B61</f>
        <v>TUESDAY</v>
      </c>
      <c r="D57" s="40" t="str">
        <f>WED!B61</f>
        <v>WEDNESDAY</v>
      </c>
      <c r="E57" s="40" t="str">
        <f>THUR!B61</f>
        <v>THURSDAY</v>
      </c>
      <c r="F57" s="40" t="str">
        <f>FRI!B61</f>
        <v>FRIDAY</v>
      </c>
      <c r="G57" s="40" t="str">
        <f>SAT!B61</f>
        <v>SATURDAY</v>
      </c>
      <c r="H57" s="40" t="str">
        <f>SUN!B61</f>
        <v>SUNDAY</v>
      </c>
      <c r="I57" s="40" t="str">
        <f>I3</f>
        <v>TOTAL</v>
      </c>
    </row>
    <row r="58" spans="1:9" ht="15" customHeight="1" x14ac:dyDescent="0.25">
      <c r="A58" s="18" t="str">
        <f>MON!A62</f>
        <v>Studio Account Name</v>
      </c>
      <c r="B58" s="62" t="str">
        <f>MON!B62</f>
        <v>Amount</v>
      </c>
      <c r="C58" s="62" t="str">
        <f>TUES!B62</f>
        <v>Amount</v>
      </c>
      <c r="D58" s="62" t="str">
        <f>WED!B62</f>
        <v>Amount</v>
      </c>
      <c r="E58" s="62" t="str">
        <f>THUR!B62</f>
        <v>Amount</v>
      </c>
      <c r="F58" s="62" t="str">
        <f>FRI!B62</f>
        <v>Amount</v>
      </c>
      <c r="G58" s="62" t="str">
        <f>SAT!B62</f>
        <v>Amount</v>
      </c>
      <c r="H58" s="62" t="str">
        <f>SUN!B62</f>
        <v>Amount</v>
      </c>
      <c r="I58" s="46"/>
    </row>
    <row r="59" spans="1:9" ht="15" customHeight="1" x14ac:dyDescent="0.25">
      <c r="A59" s="18"/>
      <c r="B59" s="42">
        <f>MON!B63</f>
        <v>0</v>
      </c>
      <c r="C59" s="42">
        <f>TUES!B63</f>
        <v>0</v>
      </c>
      <c r="D59" s="42">
        <f>WED!B63</f>
        <v>0</v>
      </c>
      <c r="E59" s="42">
        <f>THUR!B63</f>
        <v>0</v>
      </c>
      <c r="F59" s="42">
        <f>FRI!B63</f>
        <v>0</v>
      </c>
      <c r="G59" s="42">
        <f>SAT!B63</f>
        <v>0</v>
      </c>
      <c r="H59" s="42">
        <f>SUN!B63</f>
        <v>0</v>
      </c>
      <c r="I59" s="42">
        <f>SUM(B59:H59)</f>
        <v>0</v>
      </c>
    </row>
    <row r="60" spans="1:9" ht="15" customHeight="1" x14ac:dyDescent="0.25">
      <c r="A60" s="18" t="str">
        <f>MON!A64</f>
        <v>Gift Cards</v>
      </c>
      <c r="B60" s="43">
        <f>MON!B64</f>
        <v>0</v>
      </c>
      <c r="C60" s="43">
        <f>TUES!B64</f>
        <v>0</v>
      </c>
      <c r="D60" s="43">
        <f>WED!B64</f>
        <v>0</v>
      </c>
      <c r="E60" s="43">
        <f>THUR!B64</f>
        <v>0</v>
      </c>
      <c r="F60" s="43">
        <f>FRI!B64</f>
        <v>0</v>
      </c>
      <c r="G60" s="43">
        <f>SAT!B64</f>
        <v>0</v>
      </c>
      <c r="H60" s="43">
        <f>SUN!B64</f>
        <v>0</v>
      </c>
      <c r="I60" s="43">
        <f>SUM(B60:H60)</f>
        <v>0</v>
      </c>
    </row>
    <row r="61" spans="1:9" ht="15" customHeight="1" x14ac:dyDescent="0.25">
      <c r="A61" s="18" t="str">
        <f>MON!A65</f>
        <v>Total</v>
      </c>
      <c r="B61" s="47">
        <f>MON!B65</f>
        <v>0</v>
      </c>
      <c r="C61" s="47">
        <f>TUES!B65</f>
        <v>0</v>
      </c>
      <c r="D61" s="47">
        <f>WED!B65</f>
        <v>0</v>
      </c>
      <c r="E61" s="47">
        <f>THUR!B65</f>
        <v>0</v>
      </c>
      <c r="F61" s="47">
        <f>FRI!B65</f>
        <v>0</v>
      </c>
      <c r="G61" s="47">
        <f>SAT!B65</f>
        <v>0</v>
      </c>
      <c r="H61" s="47">
        <f>SUN!B65</f>
        <v>0</v>
      </c>
      <c r="I61" s="47">
        <f>SUM(I59:I60)</f>
        <v>0</v>
      </c>
    </row>
    <row r="62" spans="1:9" ht="15" customHeight="1" x14ac:dyDescent="0.25">
      <c r="A62" s="2"/>
      <c r="B62" s="23"/>
      <c r="C62" s="23"/>
      <c r="D62" s="23"/>
      <c r="E62" s="23"/>
      <c r="F62" s="23"/>
      <c r="G62" s="23"/>
      <c r="H62" s="23"/>
      <c r="I62" s="23"/>
    </row>
    <row r="63" spans="1:9" ht="15" customHeight="1" x14ac:dyDescent="0.25">
      <c r="A63" s="1" t="str">
        <f>MON!A67</f>
        <v>SALES</v>
      </c>
      <c r="B63" s="40" t="str">
        <f>MON!B67</f>
        <v>MONDAY</v>
      </c>
      <c r="C63" s="40" t="str">
        <f>TUES!B67</f>
        <v>TUESDAY</v>
      </c>
      <c r="D63" s="40" t="str">
        <f>WED!B67</f>
        <v>WEDNESDAY</v>
      </c>
      <c r="E63" s="40" t="str">
        <f>THUR!B67</f>
        <v>THURSDAY</v>
      </c>
      <c r="F63" s="40" t="str">
        <f>FRI!B67</f>
        <v>FRIDAY</v>
      </c>
      <c r="G63" s="40" t="str">
        <f>SAT!B67</f>
        <v>SATURDAY</v>
      </c>
      <c r="H63" s="40" t="str">
        <f>SUN!B67</f>
        <v>SUNDAY</v>
      </c>
      <c r="I63" s="40" t="str">
        <f>I3</f>
        <v>TOTAL</v>
      </c>
    </row>
    <row r="64" spans="1:9" ht="15" customHeight="1" x14ac:dyDescent="0.25">
      <c r="A64" s="18" t="str">
        <f>MON!A68</f>
        <v>Coffee</v>
      </c>
      <c r="B64" s="48">
        <f>MON!B68</f>
        <v>0</v>
      </c>
      <c r="C64" s="48">
        <f>TUES!B68</f>
        <v>0</v>
      </c>
      <c r="D64" s="48">
        <f>WED!B68</f>
        <v>0</v>
      </c>
      <c r="E64" s="48">
        <f>THUR!B68</f>
        <v>0</v>
      </c>
      <c r="F64" s="48">
        <f>FRI!B68</f>
        <v>0</v>
      </c>
      <c r="G64" s="48">
        <f>SAT!B68</f>
        <v>0</v>
      </c>
      <c r="H64" s="48">
        <f>SUN!B68</f>
        <v>0</v>
      </c>
      <c r="I64" s="48">
        <f t="shared" ref="I64:I69" si="10">SUM(B64:H64)</f>
        <v>0</v>
      </c>
    </row>
    <row r="65" spans="1:9" ht="15" customHeight="1" x14ac:dyDescent="0.25">
      <c r="A65" s="18" t="str">
        <f>MON!A69</f>
        <v>Food</v>
      </c>
      <c r="B65" s="42">
        <f>MON!B69</f>
        <v>0</v>
      </c>
      <c r="C65" s="42">
        <f>TUES!B69</f>
        <v>0</v>
      </c>
      <c r="D65" s="42">
        <f>WED!B69</f>
        <v>0</v>
      </c>
      <c r="E65" s="42">
        <f>THUR!B69</f>
        <v>0</v>
      </c>
      <c r="F65" s="42">
        <f>FRI!B69</f>
        <v>0</v>
      </c>
      <c r="G65" s="42">
        <f>SAT!B69</f>
        <v>0</v>
      </c>
      <c r="H65" s="42">
        <f>SUN!B69</f>
        <v>0</v>
      </c>
      <c r="I65" s="42">
        <f t="shared" si="10"/>
        <v>0</v>
      </c>
    </row>
    <row r="66" spans="1:9" ht="15" customHeight="1" x14ac:dyDescent="0.25">
      <c r="A66" s="18" t="str">
        <f>MON!A70</f>
        <v>Soft Drinks</v>
      </c>
      <c r="B66" s="42">
        <f>MON!B70</f>
        <v>0</v>
      </c>
      <c r="C66" s="42">
        <f>TUES!B70</f>
        <v>0</v>
      </c>
      <c r="D66" s="42">
        <f>WED!B70</f>
        <v>0</v>
      </c>
      <c r="E66" s="42">
        <f>THUR!B70</f>
        <v>0</v>
      </c>
      <c r="F66" s="42">
        <f>FRI!B70</f>
        <v>0</v>
      </c>
      <c r="G66" s="42">
        <f>SAT!B70</f>
        <v>0</v>
      </c>
      <c r="H66" s="42">
        <f>SUN!B70</f>
        <v>0</v>
      </c>
      <c r="I66" s="42">
        <f t="shared" si="10"/>
        <v>0</v>
      </c>
    </row>
    <row r="67" spans="1:9" ht="15" customHeight="1" x14ac:dyDescent="0.25">
      <c r="A67" s="18" t="str">
        <f>MON!A71</f>
        <v>Alcohol</v>
      </c>
      <c r="B67" s="42">
        <f>MON!B71</f>
        <v>0</v>
      </c>
      <c r="C67" s="42">
        <f>TUES!B71</f>
        <v>0</v>
      </c>
      <c r="D67" s="42">
        <f>WED!B71</f>
        <v>0</v>
      </c>
      <c r="E67" s="42">
        <f>THUR!B71</f>
        <v>0</v>
      </c>
      <c r="F67" s="42">
        <f>FRI!B71</f>
        <v>0</v>
      </c>
      <c r="G67" s="42">
        <f>SAT!B71</f>
        <v>0</v>
      </c>
      <c r="H67" s="42">
        <f>SUN!B71</f>
        <v>0</v>
      </c>
      <c r="I67" s="42">
        <f t="shared" si="10"/>
        <v>0</v>
      </c>
    </row>
    <row r="68" spans="1:9" ht="15" customHeight="1" x14ac:dyDescent="0.25">
      <c r="A68" s="18" t="str">
        <f>MON!A72</f>
        <v>Retail</v>
      </c>
      <c r="B68" s="42">
        <f>MON!B72</f>
        <v>0</v>
      </c>
      <c r="C68" s="42">
        <f>TUES!B72</f>
        <v>0</v>
      </c>
      <c r="D68" s="42">
        <f>WED!B72</f>
        <v>0</v>
      </c>
      <c r="E68" s="42">
        <f>THUR!B72</f>
        <v>0</v>
      </c>
      <c r="F68" s="42">
        <f>FRI!B72</f>
        <v>0</v>
      </c>
      <c r="G68" s="42">
        <f>SAT!B72</f>
        <v>0</v>
      </c>
      <c r="H68" s="42">
        <f>SUN!B72</f>
        <v>0</v>
      </c>
      <c r="I68" s="42">
        <f t="shared" si="10"/>
        <v>0</v>
      </c>
    </row>
    <row r="69" spans="1:9" ht="15" customHeight="1" x14ac:dyDescent="0.25">
      <c r="A69" s="18" t="str">
        <f>MON!A73</f>
        <v>Room Hire</v>
      </c>
      <c r="B69" s="52">
        <f>MON!B73</f>
        <v>0</v>
      </c>
      <c r="C69" s="52">
        <f>TUES!B73</f>
        <v>0</v>
      </c>
      <c r="D69" s="52">
        <f>WED!B73</f>
        <v>0</v>
      </c>
      <c r="E69" s="52">
        <f>THUR!B73</f>
        <v>0</v>
      </c>
      <c r="F69" s="52">
        <f>FRI!B73</f>
        <v>0</v>
      </c>
      <c r="G69" s="52">
        <f>SAT!B73</f>
        <v>0</v>
      </c>
      <c r="H69" s="52">
        <f>SUN!B73</f>
        <v>0</v>
      </c>
      <c r="I69" s="52">
        <f t="shared" si="10"/>
        <v>0</v>
      </c>
    </row>
    <row r="70" spans="1:9" ht="15" customHeight="1" x14ac:dyDescent="0.25">
      <c r="A70" s="18" t="s">
        <v>72</v>
      </c>
      <c r="B70" s="88">
        <f>MON!B74</f>
        <v>0</v>
      </c>
      <c r="C70" s="88">
        <f>TUES!B74</f>
        <v>0</v>
      </c>
      <c r="D70" s="88">
        <f>WED!B74</f>
        <v>0</v>
      </c>
      <c r="E70" s="88">
        <f>THUR!B74</f>
        <v>0</v>
      </c>
      <c r="F70" s="88">
        <f>FRI!B74</f>
        <v>0</v>
      </c>
      <c r="G70" s="88">
        <f>SAT!B74</f>
        <v>0</v>
      </c>
      <c r="H70" s="88">
        <f>SUN!B74</f>
        <v>0</v>
      </c>
      <c r="I70" s="88">
        <f t="shared" ref="I70" si="11">SUM(B70:H70)</f>
        <v>0</v>
      </c>
    </row>
    <row r="71" spans="1:9" ht="15" customHeight="1" x14ac:dyDescent="0.25">
      <c r="A71" s="18" t="str">
        <f>MON!A75</f>
        <v>Total</v>
      </c>
      <c r="B71" s="44">
        <f>MON!B75</f>
        <v>0</v>
      </c>
      <c r="C71" s="44">
        <f>TUES!B75</f>
        <v>0</v>
      </c>
      <c r="D71" s="44">
        <f>WED!B75</f>
        <v>0</v>
      </c>
      <c r="E71" s="44">
        <f>THUR!B75</f>
        <v>0</v>
      </c>
      <c r="F71" s="44">
        <f>FRI!B75</f>
        <v>0</v>
      </c>
      <c r="G71" s="44">
        <f>SAT!B75</f>
        <v>0</v>
      </c>
      <c r="H71" s="44">
        <f>SUN!B75</f>
        <v>0</v>
      </c>
      <c r="I71" s="44">
        <f>SUM(I64:I69)</f>
        <v>0</v>
      </c>
    </row>
    <row r="72" spans="1:9" ht="15" customHeight="1" x14ac:dyDescent="0.25">
      <c r="A72" s="2"/>
      <c r="B72" s="26"/>
      <c r="C72" s="26"/>
      <c r="D72" s="26"/>
      <c r="E72" s="26"/>
      <c r="F72" s="26"/>
      <c r="G72" s="26"/>
      <c r="H72" s="26"/>
      <c r="I72" s="26"/>
    </row>
    <row r="73" spans="1:9" ht="15" customHeight="1" x14ac:dyDescent="0.25">
      <c r="A73" s="49" t="str">
        <f>MON!A77</f>
        <v>Cash Banked</v>
      </c>
      <c r="B73" s="50">
        <f>MON!B77</f>
        <v>0</v>
      </c>
      <c r="C73" s="50">
        <f>TUES!B77</f>
        <v>0</v>
      </c>
      <c r="D73" s="50">
        <f>WED!B77</f>
        <v>0</v>
      </c>
      <c r="E73" s="50">
        <f>THUR!B77</f>
        <v>0</v>
      </c>
      <c r="F73" s="50">
        <f>FRI!B77</f>
        <v>0</v>
      </c>
      <c r="G73" s="50">
        <f>SAT!B77</f>
        <v>0</v>
      </c>
      <c r="H73" s="50">
        <f>SUN!B77</f>
        <v>0</v>
      </c>
      <c r="I73" s="50">
        <f t="shared" ref="I73:I78" si="12">SUM(B73:H73)</f>
        <v>0</v>
      </c>
    </row>
    <row r="74" spans="1:9" ht="15" customHeight="1" x14ac:dyDescent="0.25">
      <c r="A74" s="18" t="str">
        <f>MON!A78</f>
        <v>Z Read 1</v>
      </c>
      <c r="B74" s="51">
        <f>MON!B78</f>
        <v>0</v>
      </c>
      <c r="C74" s="51">
        <f>TUES!B78</f>
        <v>0</v>
      </c>
      <c r="D74" s="51">
        <f>WED!B78</f>
        <v>0</v>
      </c>
      <c r="E74" s="51">
        <f>THUR!B78</f>
        <v>0</v>
      </c>
      <c r="F74" s="51">
        <f>FRI!B78</f>
        <v>0</v>
      </c>
      <c r="G74" s="51">
        <f>SAT!B78</f>
        <v>0</v>
      </c>
      <c r="H74" s="51">
        <f>SUN!B78</f>
        <v>0</v>
      </c>
      <c r="I74" s="51">
        <f t="shared" si="12"/>
        <v>0</v>
      </c>
    </row>
    <row r="75" spans="1:9" ht="15" customHeight="1" x14ac:dyDescent="0.25">
      <c r="A75" s="18" t="str">
        <f>MON!A79</f>
        <v>Z Read 2</v>
      </c>
      <c r="B75" s="52">
        <f>MON!B79</f>
        <v>0</v>
      </c>
      <c r="C75" s="52">
        <f>TUES!B79</f>
        <v>0</v>
      </c>
      <c r="D75" s="52">
        <f>WED!B79</f>
        <v>0</v>
      </c>
      <c r="E75" s="52">
        <f>THUR!B79</f>
        <v>0</v>
      </c>
      <c r="F75" s="52">
        <f>FRI!B79</f>
        <v>0</v>
      </c>
      <c r="G75" s="52">
        <f>SAT!B79</f>
        <v>0</v>
      </c>
      <c r="H75" s="52">
        <f>SUN!B79</f>
        <v>0</v>
      </c>
      <c r="I75" s="42">
        <f t="shared" si="12"/>
        <v>0</v>
      </c>
    </row>
    <row r="76" spans="1:9" ht="15" customHeight="1" x14ac:dyDescent="0.25">
      <c r="A76" s="18" t="str">
        <f>MON!A80</f>
        <v>Z Read 3</v>
      </c>
      <c r="B76" s="52">
        <f>MON!B80</f>
        <v>0</v>
      </c>
      <c r="C76" s="52">
        <f>TUES!B80</f>
        <v>0</v>
      </c>
      <c r="D76" s="52">
        <f>WED!B80</f>
        <v>0</v>
      </c>
      <c r="E76" s="52">
        <f>THUR!B80</f>
        <v>0</v>
      </c>
      <c r="F76" s="52">
        <f>FRI!B80</f>
        <v>0</v>
      </c>
      <c r="G76" s="52">
        <f>SAT!B80</f>
        <v>0</v>
      </c>
      <c r="H76" s="52">
        <f>SUN!B80</f>
        <v>0</v>
      </c>
      <c r="I76" s="42">
        <f t="shared" si="12"/>
        <v>0</v>
      </c>
    </row>
    <row r="77" spans="1:9" ht="15" customHeight="1" x14ac:dyDescent="0.25">
      <c r="A77" s="18" t="str">
        <f>MON!A81</f>
        <v>Accounts</v>
      </c>
      <c r="B77" s="53">
        <f>MON!B81</f>
        <v>0</v>
      </c>
      <c r="C77" s="53">
        <f>TUES!B81</f>
        <v>0</v>
      </c>
      <c r="D77" s="53">
        <f>WED!B81</f>
        <v>0</v>
      </c>
      <c r="E77" s="53">
        <f>THUR!B81</f>
        <v>0</v>
      </c>
      <c r="F77" s="53">
        <f>FRI!B81</f>
        <v>0</v>
      </c>
      <c r="G77" s="53">
        <f>SAT!B81</f>
        <v>0</v>
      </c>
      <c r="H77" s="53">
        <f>SUN!B81</f>
        <v>0</v>
      </c>
      <c r="I77" s="63">
        <f t="shared" si="12"/>
        <v>0</v>
      </c>
    </row>
    <row r="78" spans="1:9" ht="15" customHeight="1" x14ac:dyDescent="0.25">
      <c r="A78" s="18" t="str">
        <f>MON!A82</f>
        <v>Receipts</v>
      </c>
      <c r="B78" s="54">
        <f>MON!B82</f>
        <v>0</v>
      </c>
      <c r="C78" s="54">
        <f>TUES!B82</f>
        <v>0</v>
      </c>
      <c r="D78" s="54">
        <f>WED!B82</f>
        <v>0</v>
      </c>
      <c r="E78" s="54">
        <f>THUR!B82</f>
        <v>0</v>
      </c>
      <c r="F78" s="54">
        <f>FRI!B82</f>
        <v>0</v>
      </c>
      <c r="G78" s="54">
        <f>SAT!B82</f>
        <v>0</v>
      </c>
      <c r="H78" s="54">
        <f>SUN!B82</f>
        <v>0</v>
      </c>
      <c r="I78" s="54">
        <f t="shared" si="12"/>
        <v>0</v>
      </c>
    </row>
    <row r="79" spans="1:9" ht="15" customHeight="1" x14ac:dyDescent="0.25">
      <c r="A79" s="18" t="str">
        <f>MON!A83</f>
        <v>TOTAL</v>
      </c>
      <c r="B79" s="47">
        <f>MON!B83</f>
        <v>0</v>
      </c>
      <c r="C79" s="47">
        <f>TUES!B83</f>
        <v>0</v>
      </c>
      <c r="D79" s="47">
        <f>WED!B83</f>
        <v>0</v>
      </c>
      <c r="E79" s="47">
        <f>THUR!B83</f>
        <v>0</v>
      </c>
      <c r="F79" s="47">
        <f>FRI!B83</f>
        <v>0</v>
      </c>
      <c r="G79" s="47">
        <f>SAT!B83</f>
        <v>0</v>
      </c>
      <c r="H79" s="47">
        <f>SUN!B83</f>
        <v>0</v>
      </c>
      <c r="I79" s="47">
        <f>SUM(I73:I78)</f>
        <v>0</v>
      </c>
    </row>
    <row r="80" spans="1:9" ht="15" customHeight="1" x14ac:dyDescent="0.25">
      <c r="A80" s="2"/>
      <c r="B80" s="26"/>
      <c r="C80" s="26"/>
      <c r="D80" s="26"/>
      <c r="E80" s="26"/>
      <c r="F80" s="26"/>
      <c r="G80" s="26"/>
      <c r="H80" s="26"/>
      <c r="I80" s="26"/>
    </row>
    <row r="81" spans="1:9" ht="15" customHeight="1" x14ac:dyDescent="0.25">
      <c r="A81" s="67" t="s">
        <v>71</v>
      </c>
      <c r="B81" s="68"/>
      <c r="C81" s="68"/>
      <c r="D81" s="68"/>
      <c r="E81" s="68"/>
      <c r="F81" s="68"/>
      <c r="G81" s="68"/>
      <c r="H81" s="68"/>
      <c r="I81" s="68"/>
    </row>
    <row r="82" spans="1:9" ht="15" customHeight="1" x14ac:dyDescent="0.25">
      <c r="A82" s="18" t="str">
        <f>MON!A85</f>
        <v>Variance</v>
      </c>
      <c r="B82" s="55">
        <f>MON!B85</f>
        <v>0</v>
      </c>
      <c r="C82" s="55">
        <f>TUES!B85</f>
        <v>0</v>
      </c>
      <c r="D82" s="55">
        <f>WED!B85</f>
        <v>0</v>
      </c>
      <c r="E82" s="55">
        <f>THUR!B85</f>
        <v>0</v>
      </c>
      <c r="F82" s="55">
        <f>FRI!B85</f>
        <v>0</v>
      </c>
      <c r="G82" s="55">
        <f>SAT!B85</f>
        <v>0</v>
      </c>
      <c r="H82" s="55">
        <f>SUN!B85</f>
        <v>0</v>
      </c>
      <c r="I82" s="55">
        <f>SUM(B82:H82)</f>
        <v>0</v>
      </c>
    </row>
    <row r="83" spans="1:9" ht="15" customHeight="1" x14ac:dyDescent="0.25">
      <c r="A83" s="2"/>
      <c r="B83" s="23"/>
      <c r="C83" s="23"/>
      <c r="D83" s="23"/>
      <c r="E83" s="23"/>
      <c r="F83" s="23"/>
      <c r="G83" s="23"/>
      <c r="H83" s="23"/>
      <c r="I83" s="23"/>
    </row>
    <row r="84" spans="1:9" ht="15" customHeight="1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ht="15" customHeight="1" x14ac:dyDescent="0.25">
      <c r="A85" s="2" t="str">
        <f>MON!A88</f>
        <v>BANKED MONEY</v>
      </c>
      <c r="B85" s="40" t="str">
        <f>MON!B88</f>
        <v>MONDAY</v>
      </c>
      <c r="C85" s="40" t="str">
        <f>TUES!B88</f>
        <v>TUESDAY</v>
      </c>
      <c r="D85" s="40" t="str">
        <f>WED!B88</f>
        <v>WEDNESDAY</v>
      </c>
      <c r="E85" s="40" t="str">
        <f>THUR!B88</f>
        <v>THURSDAY</v>
      </c>
      <c r="F85" s="40" t="str">
        <f>FRI!B88</f>
        <v>FRIDAY</v>
      </c>
      <c r="G85" s="40" t="str">
        <f>SAT!B88</f>
        <v>SATURDAY</v>
      </c>
      <c r="H85" s="40" t="str">
        <f>SUN!B88</f>
        <v>SUNDAY</v>
      </c>
      <c r="I85" s="40" t="str">
        <f>I3</f>
        <v>TOTAL</v>
      </c>
    </row>
    <row r="86" spans="1:9" ht="15" customHeight="1" x14ac:dyDescent="0.25">
      <c r="A86" s="18" t="str">
        <f>MON!A89</f>
        <v>Cash Bag Number</v>
      </c>
      <c r="B86" s="41">
        <f>MON!B89</f>
        <v>0</v>
      </c>
      <c r="C86" s="41">
        <f>TUES!B89</f>
        <v>0</v>
      </c>
      <c r="D86" s="41">
        <f>WED!B89</f>
        <v>0</v>
      </c>
      <c r="E86" s="41">
        <f>THUR!B89</f>
        <v>0</v>
      </c>
      <c r="F86" s="41">
        <f>FRI!B89</f>
        <v>0</v>
      </c>
      <c r="G86" s="41">
        <f>SAT!B89</f>
        <v>0</v>
      </c>
      <c r="H86" s="41">
        <f>SUN!B89</f>
        <v>0</v>
      </c>
      <c r="I86" s="41">
        <f>SUM(B86:H86)</f>
        <v>0</v>
      </c>
    </row>
    <row r="87" spans="1:9" ht="15" customHeight="1" x14ac:dyDescent="0.25">
      <c r="A87" s="18" t="str">
        <f>MON!A90</f>
        <v>Cash Paying In Slip</v>
      </c>
      <c r="B87" s="42">
        <f>MON!B90</f>
        <v>0</v>
      </c>
      <c r="C87" s="42">
        <f>TUES!B90</f>
        <v>0</v>
      </c>
      <c r="D87" s="42">
        <f>WED!B90</f>
        <v>0</v>
      </c>
      <c r="E87" s="42">
        <f>THUR!B90</f>
        <v>0</v>
      </c>
      <c r="F87" s="42">
        <f>FRI!B90</f>
        <v>0</v>
      </c>
      <c r="G87" s="42">
        <f>SAT!B90</f>
        <v>0</v>
      </c>
      <c r="H87" s="42">
        <f>SUN!B90</f>
        <v>0</v>
      </c>
      <c r="I87" s="42">
        <f>SUM(B87:H87)</f>
        <v>0</v>
      </c>
    </row>
    <row r="88" spans="1:9" ht="15" customHeight="1" x14ac:dyDescent="0.25">
      <c r="A88" s="18" t="str">
        <f>MON!A91</f>
        <v>HSBC Receipt No</v>
      </c>
      <c r="B88" s="42">
        <f>MON!B91</f>
        <v>0</v>
      </c>
      <c r="C88" s="42">
        <f>TUES!B91</f>
        <v>0</v>
      </c>
      <c r="D88" s="42">
        <f>WED!B91</f>
        <v>0</v>
      </c>
      <c r="E88" s="42">
        <f>THUR!B91</f>
        <v>0</v>
      </c>
      <c r="F88" s="42">
        <f>FRI!B91</f>
        <v>0</v>
      </c>
      <c r="G88" s="42">
        <f>SAT!B91</f>
        <v>0</v>
      </c>
      <c r="H88" s="42">
        <f>SUN!B91</f>
        <v>0</v>
      </c>
      <c r="I88" s="42">
        <f>SUM(B88:H88)</f>
        <v>0</v>
      </c>
    </row>
    <row r="89" spans="1:9" ht="15" customHeight="1" x14ac:dyDescent="0.25">
      <c r="A89" s="18" t="str">
        <f>MON!A92</f>
        <v>Closing Supervisor</v>
      </c>
      <c r="B89" s="42">
        <f>MON!B92</f>
        <v>0</v>
      </c>
      <c r="C89" s="42">
        <f>TUES!B92</f>
        <v>0</v>
      </c>
      <c r="D89" s="42">
        <f>WED!B92</f>
        <v>0</v>
      </c>
      <c r="E89" s="42">
        <f>THUR!B92</f>
        <v>0</v>
      </c>
      <c r="F89" s="42">
        <f>FRI!B92</f>
        <v>0</v>
      </c>
      <c r="G89" s="42">
        <f>SAT!B92</f>
        <v>0</v>
      </c>
      <c r="H89" s="42">
        <f>SUN!B92</f>
        <v>0</v>
      </c>
      <c r="I89" s="42">
        <f>SUM(B89:H89)</f>
        <v>0</v>
      </c>
    </row>
    <row r="90" spans="1:9" ht="15" customHeight="1" x14ac:dyDescent="0.25">
      <c r="A90" s="18" t="str">
        <f>MON!A93</f>
        <v>Date</v>
      </c>
      <c r="B90" s="43">
        <f>MON!B93</f>
        <v>0</v>
      </c>
      <c r="C90" s="43">
        <f>TUES!B93</f>
        <v>0</v>
      </c>
      <c r="D90" s="43">
        <f>WED!B93</f>
        <v>0</v>
      </c>
      <c r="E90" s="43">
        <f>THUR!B93</f>
        <v>0</v>
      </c>
      <c r="F90" s="43">
        <f>FRI!B93</f>
        <v>0</v>
      </c>
      <c r="G90" s="43">
        <f>SAT!B93</f>
        <v>0</v>
      </c>
      <c r="H90" s="43">
        <f>SUN!B93</f>
        <v>0</v>
      </c>
      <c r="I90" s="43">
        <f>SUM(B90:H90)</f>
        <v>0</v>
      </c>
    </row>
    <row r="91" spans="1:9" ht="15" customHeight="1" x14ac:dyDescent="0.25">
      <c r="B91" s="57"/>
      <c r="C91" s="57"/>
      <c r="D91" s="57"/>
      <c r="E91" s="57"/>
      <c r="F91" s="57"/>
      <c r="G91" s="57"/>
      <c r="H91" s="57"/>
      <c r="I91" s="57"/>
    </row>
    <row r="92" spans="1:9" ht="15" customHeight="1" x14ac:dyDescent="0.25">
      <c r="A92" s="58" t="str">
        <f>MON!A95</f>
        <v>DISCOUNTS/COMPS</v>
      </c>
      <c r="B92" s="59"/>
      <c r="C92" s="59"/>
      <c r="D92" s="59"/>
      <c r="E92" s="59"/>
      <c r="F92" s="59"/>
      <c r="G92" s="59"/>
      <c r="H92" s="59"/>
      <c r="I92" s="59"/>
    </row>
    <row r="93" spans="1:9" ht="15" customHeight="1" x14ac:dyDescent="0.25">
      <c r="A93" s="60" t="str">
        <f>MON!A96</f>
        <v>Comp 1</v>
      </c>
      <c r="B93" s="41">
        <f>MON!B96</f>
        <v>0</v>
      </c>
      <c r="C93" s="41">
        <f>TUES!B96</f>
        <v>0</v>
      </c>
      <c r="D93" s="41">
        <f>WED!B96</f>
        <v>0</v>
      </c>
      <c r="E93" s="41">
        <f>THUR!B96</f>
        <v>0</v>
      </c>
      <c r="F93" s="41">
        <f>FRI!B96</f>
        <v>0</v>
      </c>
      <c r="G93" s="41">
        <f>SAT!B96</f>
        <v>0</v>
      </c>
      <c r="H93" s="41">
        <f>SUN!B96</f>
        <v>0</v>
      </c>
      <c r="I93" s="41">
        <f t="shared" ref="I93:I102" si="13">SUM(B93:H93)</f>
        <v>0</v>
      </c>
    </row>
    <row r="94" spans="1:9" ht="15" customHeight="1" x14ac:dyDescent="0.25">
      <c r="A94" s="60" t="str">
        <f>MON!A97</f>
        <v>Comp 2</v>
      </c>
      <c r="B94" s="42">
        <f>MON!B97</f>
        <v>0</v>
      </c>
      <c r="C94" s="42">
        <f>TUES!B97</f>
        <v>0</v>
      </c>
      <c r="D94" s="42">
        <f>WED!B97</f>
        <v>0</v>
      </c>
      <c r="E94" s="42">
        <f>THUR!B97</f>
        <v>0</v>
      </c>
      <c r="F94" s="42">
        <f>FRI!B97</f>
        <v>0</v>
      </c>
      <c r="G94" s="42">
        <f>SAT!B97</f>
        <v>0</v>
      </c>
      <c r="H94" s="42">
        <f>SUN!B97</f>
        <v>0</v>
      </c>
      <c r="I94" s="42">
        <f t="shared" si="13"/>
        <v>0</v>
      </c>
    </row>
    <row r="95" spans="1:9" ht="15" customHeight="1" x14ac:dyDescent="0.25">
      <c r="A95" s="60" t="str">
        <f>MON!A98</f>
        <v>Comp 3</v>
      </c>
      <c r="B95" s="42">
        <f>MON!B98</f>
        <v>0</v>
      </c>
      <c r="C95" s="42">
        <f>TUES!B98</f>
        <v>0</v>
      </c>
      <c r="D95" s="42">
        <f>WED!B98</f>
        <v>0</v>
      </c>
      <c r="E95" s="42">
        <f>THUR!B98</f>
        <v>0</v>
      </c>
      <c r="F95" s="42">
        <f>FRI!B98</f>
        <v>0</v>
      </c>
      <c r="G95" s="42">
        <f>SAT!B98</f>
        <v>0</v>
      </c>
      <c r="H95" s="42">
        <f>SUN!B98</f>
        <v>0</v>
      </c>
      <c r="I95" s="42">
        <f t="shared" si="13"/>
        <v>0</v>
      </c>
    </row>
    <row r="96" spans="1:9" ht="15" customHeight="1" x14ac:dyDescent="0.25">
      <c r="A96" s="60" t="str">
        <f>MON!A99</f>
        <v>Comp 4</v>
      </c>
      <c r="B96" s="42">
        <f>MON!B99</f>
        <v>0</v>
      </c>
      <c r="C96" s="42">
        <f>TUES!B99</f>
        <v>0</v>
      </c>
      <c r="D96" s="42">
        <f>WED!B99</f>
        <v>0</v>
      </c>
      <c r="E96" s="42">
        <f>THUR!B99</f>
        <v>0</v>
      </c>
      <c r="F96" s="42">
        <f>FRI!B99</f>
        <v>0</v>
      </c>
      <c r="G96" s="42">
        <f>SAT!B99</f>
        <v>0</v>
      </c>
      <c r="H96" s="42">
        <f>SUN!B99</f>
        <v>0</v>
      </c>
      <c r="I96" s="42">
        <f t="shared" si="13"/>
        <v>0</v>
      </c>
    </row>
    <row r="97" spans="1:9" ht="15" customHeight="1" x14ac:dyDescent="0.25">
      <c r="A97" s="60" t="str">
        <f>MON!A100</f>
        <v>Comp 5</v>
      </c>
      <c r="B97" s="42">
        <f>MON!B100</f>
        <v>0</v>
      </c>
      <c r="C97" s="42">
        <f>TUES!B100</f>
        <v>0</v>
      </c>
      <c r="D97" s="42">
        <f>WED!B100</f>
        <v>0</v>
      </c>
      <c r="E97" s="42">
        <f>THUR!B100</f>
        <v>0</v>
      </c>
      <c r="F97" s="42">
        <f>FRI!B100</f>
        <v>0</v>
      </c>
      <c r="G97" s="42">
        <f>SAT!B100</f>
        <v>0</v>
      </c>
      <c r="H97" s="42">
        <f>SUN!B100</f>
        <v>0</v>
      </c>
      <c r="I97" s="42">
        <f t="shared" si="13"/>
        <v>0</v>
      </c>
    </row>
    <row r="98" spans="1:9" ht="15" customHeight="1" x14ac:dyDescent="0.25">
      <c r="A98" s="60" t="str">
        <f>MON!A101</f>
        <v>Comp 6</v>
      </c>
      <c r="B98" s="42">
        <f>MON!B101</f>
        <v>0</v>
      </c>
      <c r="C98" s="42">
        <f>TUES!B101</f>
        <v>0</v>
      </c>
      <c r="D98" s="42">
        <f>WED!B101</f>
        <v>0</v>
      </c>
      <c r="E98" s="42">
        <f>THUR!B101</f>
        <v>0</v>
      </c>
      <c r="F98" s="42">
        <f>FRI!B101</f>
        <v>0</v>
      </c>
      <c r="G98" s="42">
        <f>SAT!B101</f>
        <v>0</v>
      </c>
      <c r="H98" s="42">
        <f>SUN!B101</f>
        <v>0</v>
      </c>
      <c r="I98" s="42">
        <f t="shared" si="13"/>
        <v>0</v>
      </c>
    </row>
    <row r="99" spans="1:9" ht="15" customHeight="1" x14ac:dyDescent="0.25">
      <c r="A99" s="60" t="str">
        <f>MON!A102</f>
        <v>Comp 7</v>
      </c>
      <c r="B99" s="42">
        <f>MON!B102</f>
        <v>0</v>
      </c>
      <c r="C99" s="42">
        <f>TUES!B102</f>
        <v>0</v>
      </c>
      <c r="D99" s="42">
        <f>WED!B102</f>
        <v>0</v>
      </c>
      <c r="E99" s="42">
        <f>THUR!B102</f>
        <v>0</v>
      </c>
      <c r="F99" s="42">
        <f>FRI!B102</f>
        <v>0</v>
      </c>
      <c r="G99" s="42">
        <f>SAT!B102</f>
        <v>0</v>
      </c>
      <c r="H99" s="42">
        <f>SUN!B102</f>
        <v>0</v>
      </c>
      <c r="I99" s="42">
        <f t="shared" si="13"/>
        <v>0</v>
      </c>
    </row>
    <row r="100" spans="1:9" ht="15" customHeight="1" x14ac:dyDescent="0.25">
      <c r="A100" s="60" t="str">
        <f>MON!A103</f>
        <v>Comp 8</v>
      </c>
      <c r="B100" s="42">
        <f>MON!B103</f>
        <v>0</v>
      </c>
      <c r="C100" s="42">
        <f>TUES!B103</f>
        <v>0</v>
      </c>
      <c r="D100" s="42">
        <f>WED!B103</f>
        <v>0</v>
      </c>
      <c r="E100" s="42">
        <f>THUR!B103</f>
        <v>0</v>
      </c>
      <c r="F100" s="42">
        <f>FRI!B103</f>
        <v>0</v>
      </c>
      <c r="G100" s="42">
        <f>SAT!B103</f>
        <v>0</v>
      </c>
      <c r="H100" s="42">
        <f>SUN!B103</f>
        <v>0</v>
      </c>
      <c r="I100" s="42">
        <f t="shared" si="13"/>
        <v>0</v>
      </c>
    </row>
    <row r="101" spans="1:9" ht="15" customHeight="1" x14ac:dyDescent="0.25">
      <c r="A101" s="60" t="str">
        <f>MON!A104</f>
        <v>Comp 9</v>
      </c>
      <c r="B101" s="42">
        <f>MON!B104</f>
        <v>0</v>
      </c>
      <c r="C101" s="42">
        <f>TUES!B104</f>
        <v>0</v>
      </c>
      <c r="D101" s="42">
        <f>WED!B104</f>
        <v>0</v>
      </c>
      <c r="E101" s="42">
        <f>THUR!B104</f>
        <v>0</v>
      </c>
      <c r="F101" s="42">
        <f>FRI!B104</f>
        <v>0</v>
      </c>
      <c r="G101" s="42">
        <f>SAT!B104</f>
        <v>0</v>
      </c>
      <c r="H101" s="42">
        <f>SUN!B104</f>
        <v>0</v>
      </c>
      <c r="I101" s="42">
        <f t="shared" si="13"/>
        <v>0</v>
      </c>
    </row>
    <row r="102" spans="1:9" ht="15" customHeight="1" x14ac:dyDescent="0.25">
      <c r="A102" s="60" t="str">
        <f>MON!A105</f>
        <v>Comp 10</v>
      </c>
      <c r="B102" s="43">
        <f>MON!B105</f>
        <v>0</v>
      </c>
      <c r="C102" s="43">
        <f>TUES!B105</f>
        <v>0</v>
      </c>
      <c r="D102" s="43">
        <f>WED!B105</f>
        <v>0</v>
      </c>
      <c r="E102" s="43">
        <f>THUR!B105</f>
        <v>0</v>
      </c>
      <c r="F102" s="43">
        <f>FRI!B105</f>
        <v>0</v>
      </c>
      <c r="G102" s="43">
        <f>SAT!B105</f>
        <v>0</v>
      </c>
      <c r="H102" s="43">
        <f>SUN!B105</f>
        <v>0</v>
      </c>
      <c r="I102" s="43">
        <f t="shared" si="13"/>
        <v>0</v>
      </c>
    </row>
    <row r="103" spans="1:9" ht="15" customHeight="1" x14ac:dyDescent="0.25">
      <c r="A103" s="60" t="str">
        <f>MON!A106</f>
        <v>Total Comps</v>
      </c>
      <c r="B103" s="44">
        <f>MON!B106</f>
        <v>0</v>
      </c>
      <c r="C103" s="44">
        <f>TUES!B106</f>
        <v>0</v>
      </c>
      <c r="D103" s="44">
        <f>WED!B106</f>
        <v>0</v>
      </c>
      <c r="E103" s="44">
        <f>THUR!B106</f>
        <v>0</v>
      </c>
      <c r="F103" s="44">
        <f>FRI!B106</f>
        <v>0</v>
      </c>
      <c r="G103" s="44">
        <f>SAT!B106</f>
        <v>0</v>
      </c>
      <c r="H103" s="44">
        <f>SUN!B106</f>
        <v>0</v>
      </c>
      <c r="I103" s="47">
        <f>SUM(I93:I102)</f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MON</vt:lpstr>
      <vt:lpstr>TUES</vt:lpstr>
      <vt:lpstr>WED</vt:lpstr>
      <vt:lpstr>THUR</vt:lpstr>
      <vt:lpstr>FRI</vt:lpstr>
      <vt:lpstr>SAT</vt:lpstr>
      <vt:lpstr>SUN</vt:lpstr>
      <vt:lpstr>WEEKBEGDATE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K</dc:creator>
  <cp:keywords/>
  <dc:description/>
  <cp:lastModifiedBy>Simon K</cp:lastModifiedBy>
  <dcterms:created xsi:type="dcterms:W3CDTF">2014-12-02T09:43:38Z</dcterms:created>
  <dcterms:modified xsi:type="dcterms:W3CDTF">2015-01-08T15:33:17Z</dcterms:modified>
  <cp:category/>
  <cp:contentStatus/>
</cp:coreProperties>
</file>